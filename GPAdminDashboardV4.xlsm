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omments1.xml" ContentType="application/vnd.openxmlformats-officedocument.spreadsheetml.comments+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7.xml" ContentType="application/vnd.openxmlformats-officedocument.spreadsheetml.table+xml"/>
  <Override PartName="/xl/queryTables/queryTable7.xml" ContentType="application/vnd.openxmlformats-officedocument.spreadsheetml.query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tables/table10.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tables/table11.xml" ContentType="application/vnd.openxmlformats-officedocument.spreadsheetml.table+xml"/>
  <Override PartName="/xl/queryTables/queryTable11.xml" ContentType="application/vnd.openxmlformats-officedocument.spreadsheetml.queryTable+xml"/>
  <Override PartName="/xl/pivotTables/pivotTable1.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2.xml" ContentType="application/vnd.openxmlformats-officedocument.spreadsheetml.table+xml"/>
  <Override PartName="/xl/queryTables/queryTable12.xml" ContentType="application/vnd.openxmlformats-officedocument.spreadsheetml.queryTable+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tables/table13.xml" ContentType="application/vnd.openxmlformats-officedocument.spreadsheetml.table+xml"/>
  <Override PartName="/xl/queryTables/queryTable13.xml" ContentType="application/vnd.openxmlformats-officedocument.spreadsheetml.queryTable+xml"/>
  <Override PartName="/xl/drawings/drawing8.xml" ContentType="application/vnd.openxmlformats-officedocument.drawing+xml"/>
  <Override PartName="/xl/tables/table14.xml" ContentType="application/vnd.openxmlformats-officedocument.spreadsheetml.table+xml"/>
  <Override PartName="/xl/queryTables/queryTable14.xml" ContentType="application/vnd.openxmlformats-officedocument.spreadsheetml.query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372AB895-14C1-FC20-EB20-F1B4BCFD95AE}"/>
  <workbookPr codeName="ThisWorkbook" hidePivotFieldList="1"/>
  <mc:AlternateContent xmlns:mc="http://schemas.openxmlformats.org/markup-compatibility/2006">
    <mc:Choice Requires="x15">
      <x15ac:absPath xmlns:x15ac="http://schemas.microsoft.com/office/spreadsheetml/2010/11/ac" url="C:\Users\BeatBucher\Downloads\"/>
    </mc:Choice>
  </mc:AlternateContent>
  <xr:revisionPtr revIDLastSave="0" documentId="13_ncr:1_{F5329C38-9CFE-45DF-9753-D4636EA284A4}" xr6:coauthVersionLast="47" xr6:coauthVersionMax="47" xr10:uidLastSave="{00000000-0000-0000-0000-000000000000}"/>
  <bookViews>
    <workbookView xWindow="3036" yWindow="3036" windowWidth="23040" windowHeight="12120" tabRatio="728" activeTab="15" xr2:uid="{00000000-000D-0000-FFFF-FFFF00000000}"/>
  </bookViews>
  <sheets>
    <sheet name="Dashboard" sheetId="1" r:id="rId1"/>
    <sheet name="Users" sheetId="2" r:id="rId2"/>
    <sheet name="Active Batches" sheetId="4" r:id="rId3"/>
    <sheet name="Locks-In Use" sheetId="9" r:id="rId4"/>
    <sheet name="Locks-Orphans" sheetId="10" r:id="rId5"/>
    <sheet name="Open Batches" sheetId="6" r:id="rId6"/>
    <sheet name="Processes" sheetId="8" state="hidden" r:id="rId7"/>
    <sheet name="Resources in Use" sheetId="7" r:id="rId8"/>
    <sheet name="Sessions" sheetId="5" r:id="rId9"/>
    <sheet name="Tracking Pivot" sheetId="18" r:id="rId10"/>
    <sheet name="Tracking" sheetId="12" r:id="rId11"/>
    <sheet name="14-day Chart" sheetId="16" r:id="rId12"/>
    <sheet name="14-day Pivot" sheetId="15" r:id="rId13"/>
    <sheet name="14-day" sheetId="13" r:id="rId14"/>
    <sheet name="12-hr" sheetId="14" r:id="rId15"/>
    <sheet name="Connections" sheetId="11" r:id="rId16"/>
  </sheets>
  <externalReferences>
    <externalReference r:id="rId17"/>
  </externalReferences>
  <definedNames>
    <definedName name="DatabaseName">Connections!$H$1</definedName>
    <definedName name="DynamicsDBName">Connections!$B$1</definedName>
    <definedName name="Query_from_Dynamics_GP_2016" localSheetId="14" hidden="1">'12-hr'!$A$3:$C$13</definedName>
    <definedName name="Query_from_Dynamics_GP_2016" localSheetId="13" hidden="1">'14-day'!$A$3:$D$539</definedName>
    <definedName name="Query_from_Dynamics_GP_2016" localSheetId="10" hidden="1">Tracking!$A$3:$K$47</definedName>
    <definedName name="Query_from_Dynamics_GP_2016_1" localSheetId="0" hidden="1">Dashboard!$D$3:$I$4</definedName>
    <definedName name="Query_from_DYNAMICS_GP2016" localSheetId="2" hidden="1">'Active Batches'!$A$3:$N$4</definedName>
    <definedName name="Query_from_DYNAMICS_GP2016" localSheetId="3" hidden="1">'Locks-In Use'!$A$3:$D$4</definedName>
    <definedName name="Query_from_DYNAMICS_GP2016" localSheetId="5" hidden="1">'Open Batches'!$A$3:$J$4</definedName>
    <definedName name="Query_from_DYNAMICS_GP2016" localSheetId="6" hidden="1">Processes!$A$3:$G$57</definedName>
    <definedName name="Query_from_DYNAMICS_GP2016" localSheetId="7" hidden="1">'Resources in Use'!$A$3:$J$4</definedName>
    <definedName name="Query_from_DYNAMICS_GP2016" localSheetId="8" hidden="1">Sessions!$A$3:$H$4</definedName>
    <definedName name="Query_from_DYNAMICS_GP2016" localSheetId="1" hidden="1">Users!$A$3:$Q$4</definedName>
    <definedName name="Query_from_DYNAMICS_GP2016_1" localSheetId="0" hidden="1">Dashboard!$A$5:$B$11</definedName>
    <definedName name="Query_from_DYNAMICS_GP2016_2" localSheetId="0" hidden="1">Dashboard!$L$3:$M$7</definedName>
    <definedName name="Query_from_DYNAMICS_GP2016_2" localSheetId="4" hidden="1">'Locks-Orphans'!$A$3:$D$4</definedName>
    <definedName name="RefreshRate" comment="How many minutes before the Dashboard auto-refreshes" localSheetId="15">Connections!$B$11</definedName>
    <definedName name="ServerName">Connections!$B$4</definedName>
  </definedNames>
  <calcPr calcId="191029"/>
  <pivotCaches>
    <pivotCache cacheId="0" r:id="rId18"/>
    <pivotCache cacheId="1"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 l="1"/>
  <c r="I1" i="1" l="1"/>
  <c r="M2" i="1"/>
  <c r="A4" i="1"/>
  <c r="C14" i="11" l="1"/>
  <c r="A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Erbach</author>
  </authors>
  <commentList>
    <comment ref="A1" authorId="0" shapeId="0" xr:uid="{00000000-0006-0000-0000-000001000000}">
      <text>
        <r>
          <rPr>
            <b/>
            <sz val="9"/>
            <color indexed="81"/>
            <rFont val="Tahoma"/>
            <family val="2"/>
          </rPr>
          <t>Azure: all stats good.
Yellow *: Resources, batches, &amp; sessions active or in use.
Orange !: Orphaned sessions/locks should be cleared.</t>
        </r>
      </text>
    </comment>
    <comment ref="B1" authorId="0" shapeId="0" xr:uid="{00000000-0006-0000-0000-000002000000}">
      <text>
        <r>
          <rPr>
            <b/>
            <sz val="9"/>
            <color indexed="81"/>
            <rFont val="Tahoma"/>
            <family val="2"/>
          </rPr>
          <t>Azure: all users OK.
Red !: Widowed GP connections still using up license counts
Orange ?: GP users with un-matched SQL processes; will be cleared w/GP logout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interval="5" name="12-hour Query" type="1" refreshedVersion="8" saveData="1">
    <dbPr connection="DRIVER=SQL Server;SERVER=WIN2019SQLDEV\DYNGP18;UID=Administrator;Trusted_Connection=Yes;APP=Microsoft Office;WSID=WIN2019SQLDEV;DATABASE=DYNAMICS" command="SELECT * FROM dbo.vw12HourActivity"/>
  </connection>
  <connection id="2" xr16:uid="{00000000-0015-0000-FFFF-FFFF00000000}" interval="5" name="16 day Activity query" type="1" refreshedVersion="8" saveData="1">
    <dbPr connection="DRIVER=SQL Server;SERVER=WIN2019SQLDEV\DYNGP18;UID=Administrator;Trusted_Connection=Yes;APP=Microsoft Office;WSID=WIN2019SQLDEV;DATABASE=DYNAMICS" command="SELECT * FROM dbo.vw16DayActivity"/>
  </connection>
  <connection id="3" xr16:uid="{00000000-0015-0000-FFFF-FFFF00000000}" interval="5" name="Active Batches" type="1" refreshedVersion="8" saveData="1">
    <dbPr connection="DRIVER=SQL Server;SERVER=WIN2019SQLDEV\DYNGP18;UID=Administrator;Trusted_Connection=Yes;APP=Microsoft Office;WSID=WIN2019SQLDEV;DATABASE=DYNAMICS" command="{call DYNAMICS..uspFillTempSY00500Table (?,1)}"/>
    <parameters count="1">
      <parameter name="Parameter1" parameterType="cell" cell="Connections!$B$1"/>
    </parameters>
  </connection>
  <connection id="4" xr16:uid="{00000000-0015-0000-FFFF-FFFF01000000}" interval="5" name="Dashboard (Processes)" type="1" refreshedVersion="8" saveData="1">
    <dbPr connection="DRIVER=SQL Server;SERVER=WIN2019SQLDEV\DYNGP18;UID=Administrator;Trusted_Connection=Yes;APP=Microsoft Office;WSID=WIN2019SQLDEV;DATABASE=DYNAMICS" command="SELECT TOP (100) PERCENT_x000d__x000a__x0009_CASE ISNULL(RTRIM(um.USERNAME), '') _x000d__x000a__x0009__x0009_WHEN '' THEN RTRIM(msp.loginame) _x000d__x000a__x0009__x0009_ELSE RTRIM(um.USERNAME) _x000d__x000a__x0009_END AS [User Name]_x000d__x000a__x0009_, COUNT(msp.spid) AS Processes_x000d__x000a_FROM [master].sys.sysprocesses AS msp_x000d__x000a_LEFT OUTER JOIN DYNAMICS..SY01400 AS um_x000d__x000a__x0009_ON msp.loginame = um.USERID_x000d__x000a_GROUP BY RTRIM(msp.loginame), RTRIM(um.USERNAME)_x000d__x000a_ORDER BY [User Name];"/>
  </connection>
  <connection id="5" xr16:uid="{00000000-0015-0000-FFFF-FFFF02000000}" interval="5" name="Dashboard (Quick Stats)" type="1" refreshedVersion="8" saveData="1">
    <dbPr connection="DRIVER=SQL Server;SERVER=WIN2019SQLDEV\DYNGP18;UID=Administrator;Trusted_Connection=Yes;APP=Microsoft Office;WSID=WIN2019SQLDEV;DATABASE=DYNAMICS" command="{call DYNAMICS..uspFillTempActiveBatchesTable(?)}"/>
    <parameters count="1">
      <parameter name="Parameter1" parameterType="cell" cell="Connections!$B$1"/>
    </parameters>
  </connection>
  <connection id="6" xr16:uid="{00000000-0015-0000-FFFF-FFFF04000000}" interval="5" name="Locks-In Use" type="1" refreshedVersion="8" saveData="1">
    <dbPr connection="DRIVER=SQL Server;SERVER=WIN2019SQLDEV\DYNGP18;UID=Administrator;Trusted_Connection=Yes;APP=Microsoft Office;WSID=WIN2019SQLDEV;DATABASE=DYNAMICS" command="{call DYNAMICS..uspLocksInUse (?,1)}"/>
    <parameters count="1">
      <parameter name="Parameter1" parameterType="cell" cell="Connections!$B$1"/>
    </parameters>
  </connection>
  <connection id="7" xr16:uid="{00000000-0015-0000-FFFF-FFFF05000000}" interval="5" name="Locks-Orphans" type="1" refreshedVersion="8" saveData="1">
    <dbPr connection="DRIVER=SQL Server;SERVER=WIN2019SQLDEV\DYNGP18;UID=Administrator;Trusted_Connection=Yes;APP=Microsoft Office;WSID=WIN2019SQLDEV;DATABASE=DYNAMICS" command="SELECT 'tempdb..DEX_LOCK' AS TableName_x000d__x000a__x0009_, L.*_x000d__x000a_FROM tempdb..DEX_LOCK AS L_x000d__x000a__x0009_WHERE NOT EXISTS (_x000d__x000a__x0009__x0009_SELECT A.*_x000d__x000a__x0009__x0009_FROM DYNAMICS..ACTIVITY AS A _x000d__x000a__x0009__x0009_WHERE L.session_id = A.SQLSESID_x000d__x000a__x0009_);"/>
  </connection>
  <connection id="8" xr16:uid="{00000000-0015-0000-FFFF-FFFF06000000}" interval="5" name="Open Batches" type="1" refreshedVersion="8" saveData="1">
    <dbPr connection="DRIVER=SQL Server;SERVER=WIN2019SQLDEV\DYNGP18;UID=Administrator;Trusted_Connection=Yes;APP=Microsoft Office;WSID=WIN2019SQLDEV;DATABASE=DYNAMICS" command="SELECT * FROM dbo.vwOpenBatches"/>
  </connection>
  <connection id="9" xr16:uid="{00000000-0015-0000-FFFF-FFFF00000000}" interval="5" name="Placeholder Query" type="1" refreshedVersion="8" background="1" saveData="1">
    <dbPr connection="DRIVER=SQL Server;SERVER=WIN2019SQLDEV\DYNGP18;UID=Administrator;Trusted_Connection=Yes;APP=Microsoft Office;WSID=WIN2019SQLDEV;DATABASE=DYNAMICS" command="SELECT * FROM dbo.vwDashboardUsers"/>
    <parameters count="1">
      <parameter name="Parameter1" parameterType="cell" cell="'U:\TempPath\[PlaceHolderGLC.xlsx]Sheet1'!#REF!"/>
    </parameters>
  </connection>
  <connection id="10" xr16:uid="{00000000-0015-0000-FFFF-FFFF07000000}" interval="5" name="Processes" type="1" refreshedVersion="8" saveData="1">
    <dbPr connection="DRIVER=SQL Server;SERVER=WIN2019SQLDEV\DYNGP18;UID=Administrator;Trusted_Connection=Yes;APP=Microsoft Office;WSID=WIN2019SQLDEV;DATABASE=DYNAMICS" command="SELECT '[master].sys.sysprocesses' AS TableName_x000d__x000a__x0009_, FORMAT(login_time,'yyyy-MM-dd','en-us')+' '+FORMAT(login_time,'HH:mm','en-us') AS [Login]_x000d__x000a__x0009_, FORMAT(last_batch,'yyyy-MM-dd','en-us')+' '+FORMAT(last_batch,'HH:mm','en-us') AS LastBatch_x000d__x000a__x0009_, RTRIM(status) AS [Status]_x000d__x000a__x0009_, RTRIM(cmd) AS Cmd_x000d__x000a__x0009_, RTRIM(loginame) AS loginName_x000d__x000a__x0009_, spid_x000d__x000a_FROM [master].sys.sysprocesses_x000d__x000a_ORDER BY loginName;"/>
  </connection>
  <connection id="11" xr16:uid="{00000000-0015-0000-FFFF-FFFF08000000}" interval="5" name="Resources in Use" type="1" refreshedVersion="8" saveData="1">
    <dbPr connection="DRIVER=SQL Server;SERVER=WIN2019SQLDEV\DYNGP18;UID=Administrator;Trusted_Connection=Yes;APP=Microsoft Office;WSID=WIN2019SQLDEV;DATABASE=DYNAMICS" command="SELECT * FROM dbo.vwResourcesInUse"/>
  </connection>
  <connection id="12" xr16:uid="{00000000-0015-0000-FFFF-FFFF09000000}" interval="5" name="Sessions" type="1" refreshedVersion="8" saveData="1">
    <dbPr connection="DRIVER=SQL Server;SERVER=WIN2019SQLDEV\DYNGP18;UID=Administrator;Trusted_Connection=Yes;APP=Microsoft Office;WSID=WIN2019SQLDEV;DATABASE=DYNAMICS" command="SELECT * FROM dbo.vwSessions"/>
  </connection>
  <connection id="13" xr16:uid="{00000000-0015-0000-FFFF-FFFF0A000000}" interval="5" name="Tracking" type="1" refreshedVersion="8" saveData="1">
    <dbPr connection="DRIVER=SQL Server;SERVER=WIN2019SQLDEV\DYNGP18;UID=Administrator;Trusted_Connection=Yes;APP=Microsoft Office;WSID=WIN2019SQLDEV;DATABASE=DYNAMICS" command="{call DYNAMICS..usp24hrActivityTracking2 (?)}"/>
    <parameters count="1">
      <parameter name="Parameter1" parameterType="cell" cell="Connections!$B$1"/>
    </parameters>
  </connection>
  <connection id="14" xr16:uid="{00000000-0015-0000-FFFF-FFFF0B000000}" interval="5" name="Users" type="1" refreshedVersion="8" saveData="1">
    <dbPr connection="DRIVER=SQL Server;SERVER=WIN2019SQLDEV\DYNGP18;UID=Administrator;Trusted_Connection=Yes;APP=Microsoft Office;WSID=WIN2019SQLDEV;DATABASE=DYNAMICS" command="{call dbo.uspGPUserList}"/>
  </connection>
</connections>
</file>

<file path=xl/sharedStrings.xml><?xml version="1.0" encoding="utf-8"?>
<sst xmlns="http://schemas.openxmlformats.org/spreadsheetml/2006/main" count="1472" uniqueCount="284">
  <si>
    <t>In the table below, B=Batches, R=Resources, T=Tables</t>
  </si>
  <si>
    <t>Batches that are being processed in some way -OR- that have errors</t>
  </si>
  <si>
    <t>Records still locked that should be closed</t>
  </si>
  <si>
    <t>SQL Server Sysprocesses</t>
  </si>
  <si>
    <t>Quick Stats</t>
  </si>
  <si>
    <t>Sysprocesses Summary</t>
  </si>
  <si>
    <t>Who has which item locked?</t>
  </si>
  <si>
    <t>Batches opened recently; if "No match" then rows should be removed</t>
  </si>
  <si>
    <t>Resources open; if "No match" then items should be removed</t>
  </si>
  <si>
    <t>Stats</t>
  </si>
  <si>
    <t>Red &amp; yellow</t>
  </si>
  <si>
    <t>Number to the right of the dec. point</t>
  </si>
  <si>
    <t>is the number of problem items.</t>
  </si>
  <si>
    <t>Processes</t>
  </si>
  <si>
    <t>Count</t>
  </si>
  <si>
    <t>Active Batches</t>
  </si>
  <si>
    <t>Open Batches</t>
  </si>
  <si>
    <t>Resources in Use</t>
  </si>
  <si>
    <t>DEX Sessions; if "No ACTIVITY" then should be removed</t>
  </si>
  <si>
    <t>Disconnects</t>
  </si>
  <si>
    <t>(usually DYNAMICS)</t>
  </si>
  <si>
    <t>Activity Tracking</t>
  </si>
  <si>
    <r>
      <rPr>
        <b/>
        <sz val="11"/>
        <color theme="5"/>
        <rFont val="Calibri"/>
        <family val="2"/>
        <scheme val="minor"/>
      </rPr>
      <t>Unlinked</t>
    </r>
    <r>
      <rPr>
        <sz val="11"/>
        <color theme="1"/>
        <rFont val="Calibri"/>
        <family val="2"/>
        <scheme val="minor"/>
      </rPr>
      <t xml:space="preserve"> sessions won't be cleared with the "Remove Orphan Sessions" button. "Unlinked" sessions are still valid; they simply no longer have a direct link between the DEX_SESSION and sysprocesses tables.</t>
    </r>
  </si>
  <si>
    <r>
      <t xml:space="preserve">GP Dashboard </t>
    </r>
    <r>
      <rPr>
        <b/>
        <vertAlign val="superscript"/>
        <sz val="14"/>
        <color theme="1"/>
        <rFont val="Cambria"/>
        <family val="1"/>
      </rPr>
      <t>(1) (2)</t>
    </r>
  </si>
  <si>
    <t xml:space="preserve">System DB: </t>
  </si>
  <si>
    <t xml:space="preserve">Server: </t>
  </si>
  <si>
    <t></t>
  </si>
  <si>
    <t></t>
  </si>
  <si>
    <t></t>
  </si>
  <si>
    <t></t>
  </si>
  <si>
    <t></t>
  </si>
  <si>
    <t></t>
  </si>
  <si>
    <t>&lt;&lt;--- Start Here!</t>
  </si>
  <si>
    <t></t>
  </si>
  <si>
    <t>Finished!</t>
  </si>
  <si>
    <r>
      <t xml:space="preserve">Enter your System DB name here </t>
    </r>
    <r>
      <rPr>
        <i/>
        <sz val="11"/>
        <color theme="1"/>
        <rFont val="Calibri"/>
        <family val="2"/>
        <scheme val="minor"/>
      </rPr>
      <t>(usually DYNAMICS)</t>
    </r>
    <r>
      <rPr>
        <sz val="11"/>
        <color theme="1"/>
        <rFont val="Calibri"/>
        <family val="2"/>
        <scheme val="minor"/>
      </rPr>
      <t>.</t>
    </r>
  </si>
  <si>
    <r>
      <rPr>
        <b/>
        <i/>
        <sz val="11"/>
        <color theme="1"/>
        <rFont val="Calibri"/>
        <family val="2"/>
        <scheme val="minor"/>
      </rPr>
      <t>UN</t>
    </r>
    <r>
      <rPr>
        <sz val="11"/>
        <color theme="1"/>
        <rFont val="Calibri"/>
        <family val="2"/>
        <scheme val="minor"/>
      </rPr>
      <t>-check the "Lock Update" checkbox.</t>
    </r>
  </si>
  <si>
    <t>Click the "Swap Command Text". This places YOUR System database name in all of the
Command Text properties fields. Make sure to click only once!</t>
  </si>
  <si>
    <t>Day</t>
  </si>
  <si>
    <t>Hours</t>
  </si>
  <si>
    <t>Users</t>
  </si>
  <si>
    <t>Dashboard</t>
  </si>
  <si>
    <t>Locks-in Use</t>
  </si>
  <si>
    <t>Locks-Orphans</t>
  </si>
  <si>
    <t>Sessions</t>
  </si>
  <si>
    <t>Tracking</t>
  </si>
  <si>
    <t>Connections</t>
  </si>
  <si>
    <t>14-Day</t>
  </si>
  <si>
    <t>12-hr</t>
  </si>
  <si>
    <t>14-Pivot</t>
  </si>
  <si>
    <t>14-Chart</t>
  </si>
  <si>
    <t>Navigation Links</t>
  </si>
  <si>
    <t>Time</t>
  </si>
  <si>
    <t>minutes</t>
  </si>
  <si>
    <t>Refresh rate (1-15):</t>
  </si>
  <si>
    <t></t>
  </si>
  <si>
    <r>
      <t></t>
    </r>
    <r>
      <rPr>
        <sz val="18"/>
        <color rgb="FF0070C0"/>
        <rFont val="Calibri"/>
        <family val="2"/>
        <scheme val="minor"/>
      </rPr>
      <t>a</t>
    </r>
  </si>
  <si>
    <r>
      <rPr>
        <b/>
        <i/>
        <sz val="11"/>
        <color theme="1"/>
        <rFont val="Calibri"/>
        <family val="2"/>
        <scheme val="minor"/>
      </rPr>
      <t>CHECK</t>
    </r>
    <r>
      <rPr>
        <sz val="11"/>
        <color theme="1"/>
        <rFont val="Calibri"/>
        <family val="2"/>
        <scheme val="minor"/>
      </rPr>
      <t xml:space="preserve"> the "Lock Update" checkbox.</t>
    </r>
  </si>
  <si>
    <t>Click the "Update Connections" button; this inserts your Server name in the Connection properties.</t>
  </si>
  <si>
    <t>Set the refresh period to (your choice) 1 to 15 minutes</t>
  </si>
  <si>
    <t>(Check the "Lock Update" checkbox)</t>
  </si>
  <si>
    <r>
      <t xml:space="preserve">Click the "Set Refresh Rate" button to activate auto-refresh. </t>
    </r>
    <r>
      <rPr>
        <i/>
        <sz val="11"/>
        <color theme="1"/>
        <rFont val="Calibri"/>
        <family val="2"/>
        <scheme val="minor"/>
      </rPr>
      <t>(Or click the "Set Refresh to 0 mins." if you want to refresh manually.)</t>
    </r>
  </si>
  <si>
    <t>Company</t>
  </si>
  <si>
    <t>UserID</t>
  </si>
  <si>
    <t>INQYTYPE</t>
  </si>
  <si>
    <t>DATE1</t>
  </si>
  <si>
    <t>TIME1</t>
  </si>
  <si>
    <t>Description</t>
  </si>
  <si>
    <t>FiveMinPeriod</t>
  </si>
  <si>
    <t>Code</t>
  </si>
  <si>
    <t>MONITORDATE</t>
  </si>
  <si>
    <t>ActivityDate</t>
  </si>
  <si>
    <t>ActivityHour</t>
  </si>
  <si>
    <t>ACTIVITY</t>
  </si>
  <si>
    <t>User Name</t>
  </si>
  <si>
    <t>sa</t>
  </si>
  <si>
    <t>Stat</t>
  </si>
  <si>
    <t>Locks in Use/Orphans</t>
  </si>
  <si>
    <t>Sessions/Orphans</t>
  </si>
  <si>
    <t>Type</t>
  </si>
  <si>
    <t>Status</t>
  </si>
  <si>
    <t>Proc status</t>
  </si>
  <si>
    <t>Logged in at</t>
  </si>
  <si>
    <t>sleeping</t>
  </si>
  <si>
    <t>For how long?</t>
  </si>
  <si>
    <t>Session</t>
  </si>
  <si>
    <t>GP_spid</t>
  </si>
  <si>
    <t>Spid_count</t>
  </si>
  <si>
    <t>Last</t>
  </si>
  <si>
    <t>Mins.</t>
  </si>
  <si>
    <t>2nd Last</t>
  </si>
  <si>
    <t>Mins. 2nd</t>
  </si>
  <si>
    <t>B</t>
  </si>
  <si>
    <t>R</t>
  </si>
  <si>
    <t>T</t>
  </si>
  <si>
    <t>TableName</t>
  </si>
  <si>
    <t>BatchSource</t>
  </si>
  <si>
    <t>TRXSORCE</t>
  </si>
  <si>
    <t>Batch#</t>
  </si>
  <si>
    <t>SERIES</t>
  </si>
  <si>
    <t>MKDTOPST</t>
  </si>
  <si>
    <t>NUMOFTRX</t>
  </si>
  <si>
    <t>BACHFREQ</t>
  </si>
  <si>
    <t>BCHCOMNT</t>
  </si>
  <si>
    <t>BCHTOTAL</t>
  </si>
  <si>
    <t>CREATDDT</t>
  </si>
  <si>
    <t>BCHSTTUS</t>
  </si>
  <si>
    <t>BatchStatusDescription</t>
  </si>
  <si>
    <t>USERID</t>
  </si>
  <si>
    <t>DocNo Locked</t>
  </si>
  <si>
    <t>LoginDate</t>
  </si>
  <si>
    <t>table_path_name</t>
  </si>
  <si>
    <t>session_id</t>
  </si>
  <si>
    <t>row_id</t>
  </si>
  <si>
    <t>LinkToActivity</t>
  </si>
  <si>
    <t>WINTYPE</t>
  </si>
  <si>
    <t>CMPNYNAM</t>
  </si>
  <si>
    <t>BCHSOURC</t>
  </si>
  <si>
    <t>BACHNUMB</t>
  </si>
  <si>
    <t>POSTING</t>
  </si>
  <si>
    <t>TRXSOURC</t>
  </si>
  <si>
    <t>Login</t>
  </si>
  <si>
    <t>LastBatch</t>
  </si>
  <si>
    <t>Cmd</t>
  </si>
  <si>
    <t>loginName</t>
  </si>
  <si>
    <t>spid</t>
  </si>
  <si>
    <t>[master].sys.sysprocesses</t>
  </si>
  <si>
    <t>AWAITING COMMAND</t>
  </si>
  <si>
    <t>runnable</t>
  </si>
  <si>
    <t>SELECT</t>
  </si>
  <si>
    <t>background</t>
  </si>
  <si>
    <t>LAZY WRITER</t>
  </si>
  <si>
    <t>RECOVERY WRITER</t>
  </si>
  <si>
    <t>SIGNAL HANDLER</t>
  </si>
  <si>
    <t>LOG WRITER</t>
  </si>
  <si>
    <t>LOCK MONITOR</t>
  </si>
  <si>
    <t>BRKR TASK</t>
  </si>
  <si>
    <t>XTP_CKPT_AGENT</t>
  </si>
  <si>
    <t>RESOURCE MONITOR</t>
  </si>
  <si>
    <t>XE DISPATCHER</t>
  </si>
  <si>
    <t>TASK MANAGER</t>
  </si>
  <si>
    <t>XE TIMER</t>
  </si>
  <si>
    <t>TRACE QUEUE TASK</t>
  </si>
  <si>
    <t>RECEIVE</t>
  </si>
  <si>
    <t>CHECKPOINT</t>
  </si>
  <si>
    <t>BRKR EVENT HNDLR</t>
  </si>
  <si>
    <t>RULEID</t>
  </si>
  <si>
    <t>RSRCID</t>
  </si>
  <si>
    <t>RSRCSBID</t>
  </si>
  <si>
    <t>CMPANYID</t>
  </si>
  <si>
    <t>RSCSTATE</t>
  </si>
  <si>
    <t>RSRDESC</t>
  </si>
  <si>
    <t>USECT</t>
  </si>
  <si>
    <t>sqlsvr_spid</t>
  </si>
  <si>
    <t>SQL status</t>
  </si>
  <si>
    <t>Module</t>
  </si>
  <si>
    <t>FiveMinSegment</t>
  </si>
  <si>
    <t>origTIME1</t>
  </si>
  <si>
    <t>minTime</t>
  </si>
  <si>
    <t>Tracking Pivot</t>
  </si>
  <si>
    <t>SYSTEM_HEALTH_MONITOR</t>
  </si>
  <si>
    <t>XIO_LEASE_RENEWAL_WORKER</t>
  </si>
  <si>
    <t>XIO_RETRY_WORKER</t>
  </si>
  <si>
    <t>PVS_PREALLOCATOR</t>
  </si>
  <si>
    <t>NT SERVICE\SQLAgent$DYNGP18</t>
  </si>
  <si>
    <t>NT SERVICE\SQLTELEMETRY$DYNGP18</t>
  </si>
  <si>
    <t>WIN2019SQLDEV\Administrator</t>
  </si>
  <si>
    <t>Fabrikam, Inc.</t>
  </si>
  <si>
    <t>DEX_ROW_ID</t>
  </si>
  <si>
    <t>The Master Posting window was successfully opened.</t>
  </si>
  <si>
    <t>Window was successfully opened</t>
  </si>
  <si>
    <t>The Sales Transaction Entry window was successfully opened.</t>
  </si>
  <si>
    <t/>
  </si>
  <si>
    <t>---</t>
  </si>
  <si>
    <t>17</t>
  </si>
  <si>
    <t>18</t>
  </si>
  <si>
    <t>GP</t>
  </si>
  <si>
    <t>LESSONUSER1</t>
  </si>
  <si>
    <t>The User Setup window was successfully opened.</t>
  </si>
  <si>
    <t>The Users window was successfully opened.</t>
  </si>
  <si>
    <t>Failed login attempt - the user was logged in already.</t>
  </si>
  <si>
    <t>Max users logged in -or- User logged in already</t>
  </si>
  <si>
    <t>LESSONUSER2</t>
  </si>
  <si>
    <t>The Administrator Settings window was successfully opened.</t>
  </si>
  <si>
    <t>Successful Attempts to Log In</t>
  </si>
  <si>
    <t>Successful attempt to log in</t>
  </si>
  <si>
    <t>Successful Attempts to Log Out</t>
  </si>
  <si>
    <t>Successful attempt to log out</t>
  </si>
  <si>
    <t>The Purchasing Series Posting window was successfully opened.</t>
  </si>
  <si>
    <t>The Payables Batch Entry window was successfully opened.</t>
  </si>
  <si>
    <t>Max of ACTIVITY</t>
  </si>
  <si>
    <t>Max for Period</t>
  </si>
  <si>
    <t>19</t>
  </si>
  <si>
    <t>20</t>
  </si>
  <si>
    <t>21</t>
  </si>
  <si>
    <t>22</t>
  </si>
  <si>
    <t>23</t>
  </si>
  <si>
    <t>00</t>
  </si>
  <si>
    <t>01</t>
  </si>
  <si>
    <t>02</t>
  </si>
  <si>
    <t>03</t>
  </si>
  <si>
    <t>04</t>
  </si>
  <si>
    <t>05</t>
  </si>
  <si>
    <t>06</t>
  </si>
  <si>
    <t>07</t>
  </si>
  <si>
    <t>08</t>
  </si>
  <si>
    <t>09</t>
  </si>
  <si>
    <t>10</t>
  </si>
  <si>
    <t>11</t>
  </si>
  <si>
    <t>12</t>
  </si>
  <si>
    <t>13</t>
  </si>
  <si>
    <t>14</t>
  </si>
  <si>
    <t>15</t>
  </si>
  <si>
    <t>16</t>
  </si>
  <si>
    <t>2024-10-14 09:35</t>
  </si>
  <si>
    <t>2024-10-14 08:07</t>
  </si>
  <si>
    <t>2024-10-14 08:08</t>
  </si>
  <si>
    <t>09:35:00.0000000</t>
  </si>
  <si>
    <t>2024-10-14</t>
  </si>
  <si>
    <t>09:35</t>
  </si>
  <si>
    <t>09:40:00.0000000</t>
  </si>
  <si>
    <t>09:40</t>
  </si>
  <si>
    <t>09:45:00.0000000</t>
  </si>
  <si>
    <t>09:49</t>
  </si>
  <si>
    <t>09:45</t>
  </si>
  <si>
    <t>09:50:00.0000000</t>
  </si>
  <si>
    <t>09:50</t>
  </si>
  <si>
    <t>09:51</t>
  </si>
  <si>
    <t>09:55:00.0000000</t>
  </si>
  <si>
    <t>09:59</t>
  </si>
  <si>
    <t>09:55</t>
  </si>
  <si>
    <t>10:00:00.0000000</t>
  </si>
  <si>
    <t>10:02</t>
  </si>
  <si>
    <t>10:00</t>
  </si>
  <si>
    <t>The Purchase Order Entry window was successfully opened.</t>
  </si>
  <si>
    <t>10:03</t>
  </si>
  <si>
    <t>10:05:00.0000000</t>
  </si>
  <si>
    <t>10:05</t>
  </si>
  <si>
    <t>10:10:00.0000000</t>
  </si>
  <si>
    <t>10:14</t>
  </si>
  <si>
    <t>10:10</t>
  </si>
  <si>
    <t>10:15:00.0000000</t>
  </si>
  <si>
    <t>10:16</t>
  </si>
  <si>
    <t>10:15</t>
  </si>
  <si>
    <t>The Sales Batch Entry window was successfully opened.</t>
  </si>
  <si>
    <t>10:17</t>
  </si>
  <si>
    <t>The User Preferences window was successfully opened.</t>
  </si>
  <si>
    <t>The Batch IDs window was successfully opened.</t>
  </si>
  <si>
    <t>The Print Sales Documents window was successfully opened.</t>
  </si>
  <si>
    <t>10:18</t>
  </si>
  <si>
    <t>2024-10-14 10:27</t>
  </si>
  <si>
    <t>2024-10-14 10:51</t>
  </si>
  <si>
    <t>10:20:00.0000000</t>
  </si>
  <si>
    <t>10:20</t>
  </si>
  <si>
    <t>10:25:00.0000000</t>
  </si>
  <si>
    <t>10:25</t>
  </si>
  <si>
    <t>10:30:00.0000000</t>
  </si>
  <si>
    <t>10:30</t>
  </si>
  <si>
    <t>10:35:00.0000000</t>
  </si>
  <si>
    <t>10:35</t>
  </si>
  <si>
    <t>10:40:00.0000000</t>
  </si>
  <si>
    <t>10:40</t>
  </si>
  <si>
    <t>10:45:00.0000000</t>
  </si>
  <si>
    <t>10:45</t>
  </si>
  <si>
    <t>10:50:00.0000000</t>
  </si>
  <si>
    <t>10:50</t>
  </si>
  <si>
    <t>10:55:00.0000000</t>
  </si>
  <si>
    <t>10:55</t>
  </si>
  <si>
    <t>10:56</t>
  </si>
  <si>
    <t>10:57</t>
  </si>
  <si>
    <t>The Batch Entry window was successfully opened.</t>
  </si>
  <si>
    <t>The Clearing Entry window was successfully opened.</t>
  </si>
  <si>
    <t>10:58</t>
  </si>
  <si>
    <t>2024-10-14 11:21</t>
  </si>
  <si>
    <t>2024-10-14 11:27</t>
  </si>
  <si>
    <t>2024-10-14 11:28</t>
  </si>
  <si>
    <t>2024-10-14 11:31</t>
  </si>
  <si>
    <t>2024-10-14 11:33</t>
  </si>
  <si>
    <t>2024-10-14 11:32</t>
  </si>
  <si>
    <t>2024-10-14 11:35</t>
  </si>
  <si>
    <t>SystemDB</t>
  </si>
  <si>
    <t>SQLServerInstance</t>
  </si>
  <si>
    <t>(i.e.: MYSQL\DYNGP or simply MYSQL if default instance)</t>
  </si>
  <si>
    <t>Enter the name of your SQL Server. If there is a named instance put the full instance name. If you don't know, check the ODBC32 for GP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</si>
</sst>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0.0"/>
    <numFmt numFmtId="166" formatCode="[$-409]h:mm\ AM/PM;@"/>
    <numFmt numFmtId="167" formatCode="m/d/yy;@"/>
    <numFmt numFmtId="168" formatCode="m/d/yyyy\ h:mm\ AM/PM"/>
  </numFmts>
  <fonts count="31" x14ac:knownFonts="1">
    <font>
      <sz val="11"/>
      <color theme="1"/>
      <name val="Calibri"/>
      <family val="2"/>
      <scheme val="minor"/>
    </font>
    <font>
      <b/>
      <sz val="14"/>
      <color theme="1"/>
      <name val="Calibri"/>
      <family val="2"/>
      <scheme val="minor"/>
    </font>
    <font>
      <b/>
      <sz val="14"/>
      <color theme="1"/>
      <name val="Cambria"/>
      <family val="1"/>
    </font>
    <font>
      <sz val="11"/>
      <color rgb="FFFF0000"/>
      <name val="Calibri"/>
      <family val="2"/>
      <scheme val="minor"/>
    </font>
    <font>
      <sz val="16"/>
      <color theme="1"/>
      <name val="Arial Black"/>
      <family val="2"/>
    </font>
    <font>
      <b/>
      <sz val="9"/>
      <color indexed="81"/>
      <name val="Tahoma"/>
      <family val="2"/>
    </font>
    <font>
      <b/>
      <sz val="11"/>
      <color theme="1"/>
      <name val="Calibri"/>
      <family val="2"/>
      <scheme val="minor"/>
    </font>
    <font>
      <sz val="8"/>
      <color theme="1"/>
      <name val="Calibri"/>
      <family val="2"/>
      <scheme val="minor"/>
    </font>
    <font>
      <sz val="11"/>
      <color theme="1"/>
      <name val="Calibri"/>
      <family val="2"/>
      <scheme val="minor"/>
    </font>
    <font>
      <sz val="10"/>
      <color theme="1"/>
      <name val="Calibri"/>
      <family val="2"/>
      <scheme val="minor"/>
    </font>
    <font>
      <b/>
      <sz val="10"/>
      <color rgb="FFFF0000"/>
      <name val="Calibri"/>
      <family val="2"/>
      <scheme val="minor"/>
    </font>
    <font>
      <i/>
      <sz val="11"/>
      <color theme="1"/>
      <name val="Calibri"/>
      <family val="2"/>
      <scheme val="minor"/>
    </font>
    <font>
      <b/>
      <sz val="11"/>
      <color theme="5"/>
      <name val="Calibri"/>
      <family val="2"/>
      <scheme val="minor"/>
    </font>
    <font>
      <b/>
      <vertAlign val="superscript"/>
      <sz val="14"/>
      <color theme="1"/>
      <name val="Cambria"/>
      <family val="1"/>
    </font>
    <font>
      <sz val="18"/>
      <color rgb="FF0070C0"/>
      <name val="Wingdings"/>
      <charset val="2"/>
    </font>
    <font>
      <b/>
      <i/>
      <sz val="14"/>
      <color theme="1"/>
      <name val="Calibri"/>
      <family val="2"/>
      <scheme val="minor"/>
    </font>
    <font>
      <b/>
      <i/>
      <sz val="11"/>
      <color theme="1"/>
      <name val="Calibri"/>
      <family val="2"/>
      <scheme val="minor"/>
    </font>
    <font>
      <u/>
      <sz val="11"/>
      <color theme="10"/>
      <name val="Calibri"/>
      <family val="2"/>
      <scheme val="minor"/>
    </font>
    <font>
      <sz val="11"/>
      <name val="Calibri"/>
      <family val="2"/>
      <scheme val="minor"/>
    </font>
    <font>
      <b/>
      <u/>
      <sz val="11"/>
      <color rgb="FF0070C0"/>
      <name val="Calibri"/>
      <family val="2"/>
      <scheme val="minor"/>
    </font>
    <font>
      <b/>
      <sz val="11"/>
      <color rgb="FF0070C0"/>
      <name val="Calibri"/>
      <family val="2"/>
      <scheme val="minor"/>
    </font>
    <font>
      <sz val="11"/>
      <color rgb="FF0070C0"/>
      <name val="Calibri"/>
      <family val="2"/>
      <scheme val="minor"/>
    </font>
    <font>
      <b/>
      <sz val="12"/>
      <color theme="1"/>
      <name val="Cambria"/>
      <family val="1"/>
    </font>
    <font>
      <sz val="16"/>
      <color theme="1"/>
      <name val="Calibri"/>
      <family val="2"/>
      <scheme val="minor"/>
    </font>
    <font>
      <b/>
      <sz val="22"/>
      <color theme="1"/>
      <name val="Calibri"/>
      <family val="2"/>
      <scheme val="minor"/>
    </font>
    <font>
      <sz val="20"/>
      <color rgb="FF0070C0"/>
      <name val="Wingdings"/>
      <charset val="2"/>
    </font>
    <font>
      <sz val="20"/>
      <color rgb="FF0070C0"/>
      <name val="Calibri"/>
      <family val="2"/>
      <scheme val="minor"/>
    </font>
    <font>
      <sz val="18"/>
      <color rgb="FF0070C0"/>
      <name val="Calibri"/>
      <family val="2"/>
      <scheme val="minor"/>
    </font>
    <font>
      <sz val="11"/>
      <color rgb="FF000099"/>
      <name val="Calibri"/>
      <family val="2"/>
      <scheme val="minor"/>
    </font>
    <font>
      <sz val="10"/>
      <color rgb="FF000099"/>
      <name val="Calibri"/>
      <family val="2"/>
      <scheme val="minor"/>
    </font>
    <font>
      <sz val="8"/>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rgb="FF99FFFF"/>
        <bgColor indexed="64"/>
      </patternFill>
    </fill>
    <fill>
      <patternFill patternType="solid">
        <fgColor rgb="FF99FF99"/>
        <bgColor indexed="64"/>
      </patternFill>
    </fill>
    <fill>
      <patternFill patternType="solid">
        <fgColor rgb="FFFFCC99"/>
        <bgColor indexed="64"/>
      </patternFill>
    </fill>
    <fill>
      <patternFill patternType="solid">
        <fgColor rgb="FFCCFF99"/>
        <bgColor indexed="64"/>
      </patternFill>
    </fill>
    <fill>
      <patternFill patternType="solid">
        <fgColor rgb="FF99FFCC"/>
        <bgColor indexed="64"/>
      </patternFill>
    </fill>
    <fill>
      <patternFill patternType="solid">
        <fgColor rgb="FF99CCFF"/>
        <bgColor indexed="64"/>
      </patternFill>
    </fill>
    <fill>
      <patternFill patternType="solid">
        <fgColor rgb="FFFF99CC"/>
        <bgColor indexed="64"/>
      </patternFill>
    </fill>
    <fill>
      <patternFill patternType="solid">
        <fgColor rgb="FFCC99FF"/>
        <bgColor indexed="64"/>
      </patternFill>
    </fill>
    <fill>
      <patternFill patternType="solid">
        <fgColor rgb="FFFFFFF0"/>
        <bgColor indexed="64"/>
      </patternFill>
    </fill>
    <fill>
      <patternFill patternType="solid">
        <fgColor rgb="FFFF99FF"/>
        <bgColor indexed="64"/>
      </patternFill>
    </fill>
    <fill>
      <patternFill patternType="solid">
        <fgColor theme="4" tint="0.5999938962981048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style="medium">
        <color indexed="64"/>
      </right>
      <top/>
      <bottom/>
      <diagonal/>
    </border>
  </borders>
  <cellStyleXfs count="3">
    <xf numFmtId="0" fontId="0" fillId="0" borderId="0"/>
    <xf numFmtId="164" fontId="8" fillId="0" borderId="0" applyFont="0" applyFill="0" applyBorder="0" applyAlignment="0" applyProtection="0"/>
    <xf numFmtId="0" fontId="17" fillId="0" borderId="0" applyNumberFormat="0" applyFill="0" applyBorder="0" applyAlignment="0" applyProtection="0"/>
  </cellStyleXfs>
  <cellXfs count="94">
    <xf numFmtId="0" fontId="0" fillId="0" borderId="0" xfId="0"/>
    <xf numFmtId="0" fontId="1" fillId="0" borderId="0" xfId="0" applyFont="1"/>
    <xf numFmtId="22" fontId="0" fillId="0" borderId="0" xfId="0" applyNumberFormat="1"/>
    <xf numFmtId="0" fontId="0" fillId="0" borderId="0" xfId="0" applyAlignment="1">
      <alignment horizontal="center"/>
    </xf>
    <xf numFmtId="0" fontId="4" fillId="0" borderId="1" xfId="0" applyFont="1" applyBorder="1" applyAlignment="1">
      <alignment horizontal="center"/>
    </xf>
    <xf numFmtId="0" fontId="6" fillId="0" borderId="0" xfId="0" applyFont="1"/>
    <xf numFmtId="0" fontId="2" fillId="0" borderId="0" xfId="0" applyFont="1" applyAlignment="1">
      <alignment horizontal="left"/>
    </xf>
    <xf numFmtId="0" fontId="7" fillId="0" borderId="0" xfId="0" applyFont="1" applyAlignment="1">
      <alignment horizontal="center" vertical="top"/>
    </xf>
    <xf numFmtId="14" fontId="0" fillId="0" borderId="0" xfId="0" applyNumberFormat="1"/>
    <xf numFmtId="164" fontId="0" fillId="0" borderId="0" xfId="1" applyFont="1"/>
    <xf numFmtId="0" fontId="0" fillId="0" borderId="0" xfId="0" applyAlignment="1">
      <alignment horizontal="left"/>
    </xf>
    <xf numFmtId="165" fontId="0" fillId="0" borderId="0" xfId="0" applyNumberFormat="1"/>
    <xf numFmtId="0" fontId="10" fillId="2" borderId="0" xfId="0" applyFont="1" applyFill="1"/>
    <xf numFmtId="0" fontId="0" fillId="3" borderId="0" xfId="0" applyFill="1"/>
    <xf numFmtId="0" fontId="0" fillId="4" borderId="0" xfId="0" applyFill="1" applyAlignment="1">
      <alignment horizontal="left"/>
    </xf>
    <xf numFmtId="0" fontId="0" fillId="4" borderId="0" xfId="0" applyFill="1"/>
    <xf numFmtId="0" fontId="0" fillId="6" borderId="0" xfId="0" applyFill="1"/>
    <xf numFmtId="0" fontId="3" fillId="7" borderId="0" xfId="0" applyFont="1" applyFill="1"/>
    <xf numFmtId="0" fontId="0" fillId="8" borderId="0" xfId="0" applyFill="1"/>
    <xf numFmtId="0" fontId="0" fillId="10" borderId="0" xfId="0" applyFill="1"/>
    <xf numFmtId="0" fontId="2" fillId="8" borderId="0" xfId="0" applyFont="1" applyFill="1" applyAlignment="1">
      <alignment horizontal="left"/>
    </xf>
    <xf numFmtId="0" fontId="1" fillId="2" borderId="2" xfId="0" applyFont="1" applyFill="1" applyBorder="1" applyAlignment="1">
      <alignment horizontal="center"/>
    </xf>
    <xf numFmtId="0" fontId="2" fillId="12" borderId="0" xfId="0" applyFont="1" applyFill="1"/>
    <xf numFmtId="0" fontId="0" fillId="12" borderId="0" xfId="0" applyFill="1"/>
    <xf numFmtId="166" fontId="0" fillId="0" borderId="0" xfId="0" applyNumberFormat="1"/>
    <xf numFmtId="0" fontId="0" fillId="0" borderId="0" xfId="0" applyAlignment="1">
      <alignment horizontal="right"/>
    </xf>
    <xf numFmtId="0" fontId="1" fillId="2" borderId="2" xfId="0" quotePrefix="1" applyFont="1" applyFill="1" applyBorder="1" applyAlignment="1">
      <alignment horizontal="center"/>
    </xf>
    <xf numFmtId="0" fontId="14" fillId="0" borderId="0" xfId="0" applyFont="1"/>
    <xf numFmtId="0" fontId="0" fillId="0" borderId="0" xfId="0" applyAlignment="1">
      <alignment vertical="center"/>
    </xf>
    <xf numFmtId="0" fontId="0" fillId="0" borderId="0" xfId="0" pivotButton="1"/>
    <xf numFmtId="167" fontId="0" fillId="0" borderId="0" xfId="0" applyNumberFormat="1"/>
    <xf numFmtId="0" fontId="9" fillId="0" borderId="0" xfId="0" applyFont="1"/>
    <xf numFmtId="0" fontId="17" fillId="7" borderId="0" xfId="2" applyFill="1"/>
    <xf numFmtId="0" fontId="17" fillId="6" borderId="0" xfId="2" applyFill="1"/>
    <xf numFmtId="0" fontId="17" fillId="5" borderId="0" xfId="2" applyFill="1" applyAlignment="1">
      <alignment horizontal="center"/>
    </xf>
    <xf numFmtId="0" fontId="17" fillId="0" borderId="0" xfId="2" applyFill="1" applyAlignment="1">
      <alignment horizontal="left"/>
    </xf>
    <xf numFmtId="0" fontId="17" fillId="10" borderId="0" xfId="2" applyFill="1" applyAlignment="1">
      <alignment horizontal="center"/>
    </xf>
    <xf numFmtId="0" fontId="17" fillId="3" borderId="0" xfId="2" applyFill="1"/>
    <xf numFmtId="0" fontId="17" fillId="4" borderId="0" xfId="2" applyFill="1"/>
    <xf numFmtId="0" fontId="17" fillId="0" borderId="0" xfId="2" applyFill="1" applyAlignment="1">
      <alignment horizontal="right"/>
    </xf>
    <xf numFmtId="0" fontId="17" fillId="0" borderId="0" xfId="2"/>
    <xf numFmtId="0" fontId="17" fillId="12" borderId="0" xfId="2" applyFill="1"/>
    <xf numFmtId="0" fontId="17" fillId="0" borderId="0" xfId="2" applyFill="1" applyBorder="1" applyAlignment="1">
      <alignment horizontal="center" vertical="center"/>
    </xf>
    <xf numFmtId="0" fontId="18" fillId="0" borderId="0" xfId="0" applyFont="1"/>
    <xf numFmtId="0" fontId="20" fillId="0" borderId="0" xfId="0" applyFont="1"/>
    <xf numFmtId="0" fontId="21" fillId="0" borderId="0" xfId="0" applyFont="1"/>
    <xf numFmtId="0" fontId="19" fillId="0" borderId="1" xfId="2" applyFont="1" applyFill="1" applyBorder="1"/>
    <xf numFmtId="0" fontId="19" fillId="0" borderId="3" xfId="2" applyFont="1" applyFill="1" applyBorder="1"/>
    <xf numFmtId="0" fontId="22" fillId="0" borderId="2" xfId="0" applyFont="1" applyBorder="1"/>
    <xf numFmtId="0" fontId="25" fillId="0" borderId="0" xfId="1" applyNumberFormat="1" applyFont="1" applyAlignment="1">
      <alignment horizontal="center"/>
    </xf>
    <xf numFmtId="14" fontId="0" fillId="0" borderId="0" xfId="0" applyNumberFormat="1" applyAlignment="1">
      <alignment horizontal="right" wrapText="1"/>
    </xf>
    <xf numFmtId="0" fontId="26" fillId="0" borderId="0" xfId="0" applyFont="1" applyAlignment="1">
      <alignment horizontal="left" vertical="center"/>
    </xf>
    <xf numFmtId="0" fontId="26" fillId="0" borderId="0" xfId="0" applyFont="1" applyAlignment="1">
      <alignment horizontal="center"/>
    </xf>
    <xf numFmtId="0" fontId="26" fillId="0" borderId="0" xfId="0" applyFont="1" applyAlignment="1">
      <alignment horizontal="center" vertical="center"/>
    </xf>
    <xf numFmtId="0" fontId="25" fillId="0" borderId="0" xfId="0" applyFont="1" applyAlignment="1">
      <alignment horizontal="left" indent="1"/>
    </xf>
    <xf numFmtId="0" fontId="0" fillId="0" borderId="0" xfId="0" applyAlignment="1">
      <alignment horizontal="left"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3" fillId="0" borderId="0" xfId="0" applyFont="1" applyAlignment="1">
      <alignment horizontal="left" vertical="center"/>
    </xf>
    <xf numFmtId="0" fontId="24" fillId="0" borderId="0" xfId="0" applyFont="1" applyAlignment="1">
      <alignment horizontal="center" vertical="center"/>
    </xf>
    <xf numFmtId="0" fontId="11" fillId="0" borderId="0" xfId="0" applyFont="1" applyAlignment="1">
      <alignment horizontal="center"/>
    </xf>
    <xf numFmtId="0" fontId="14" fillId="0" borderId="0" xfId="1" applyNumberFormat="1" applyFont="1" applyBorder="1" applyAlignment="1">
      <alignment horizontal="left" indent="1"/>
    </xf>
    <xf numFmtId="0" fontId="0" fillId="0" borderId="0" xfId="0" applyAlignment="1">
      <alignment horizontal="right" vertical="center" textRotation="180"/>
    </xf>
    <xf numFmtId="0" fontId="0" fillId="0" borderId="0" xfId="0" applyAlignment="1">
      <alignment horizontal="center" vertical="center" textRotation="180"/>
    </xf>
    <xf numFmtId="21" fontId="0" fillId="0" borderId="0" xfId="0" applyNumberFormat="1"/>
    <xf numFmtId="0" fontId="14" fillId="0" borderId="7" xfId="1" applyNumberFormat="1" applyFont="1" applyBorder="1" applyAlignment="1">
      <alignment horizontal="left" vertical="center"/>
    </xf>
    <xf numFmtId="0" fontId="0" fillId="0" borderId="0" xfId="0" pivotButton="1" applyAlignment="1">
      <alignment horizontal="left"/>
    </xf>
    <xf numFmtId="167" fontId="0" fillId="0" borderId="0" xfId="0" applyNumberFormat="1" applyAlignment="1">
      <alignment horizontal="right" vertical="center" textRotation="180"/>
    </xf>
    <xf numFmtId="1" fontId="0" fillId="0" borderId="0" xfId="0" applyNumberFormat="1" applyAlignment="1">
      <alignment horizontal="center"/>
    </xf>
    <xf numFmtId="0" fontId="9" fillId="0" borderId="0" xfId="0" applyFont="1"/>
    <xf numFmtId="0" fontId="2" fillId="8" borderId="0" xfId="0" applyFont="1" applyFill="1" applyAlignment="1">
      <alignment horizontal="left"/>
    </xf>
    <xf numFmtId="0" fontId="2" fillId="8" borderId="0" xfId="0" applyFont="1" applyFill="1" applyAlignment="1">
      <alignment horizontal="center"/>
    </xf>
    <xf numFmtId="168" fontId="29" fillId="0" borderId="0" xfId="0" applyNumberFormat="1" applyFont="1" applyAlignment="1">
      <alignment horizontal="center" vertical="center"/>
    </xf>
    <xf numFmtId="0" fontId="28" fillId="8" borderId="0" xfId="0" applyFont="1" applyFill="1" applyAlignment="1">
      <alignment horizontal="center" vertical="center" wrapText="1"/>
    </xf>
    <xf numFmtId="0" fontId="2" fillId="7" borderId="0" xfId="0" applyFont="1" applyFill="1" applyAlignment="1">
      <alignment horizontal="left"/>
    </xf>
    <xf numFmtId="0" fontId="2" fillId="6" borderId="0" xfId="0" applyFont="1" applyFill="1" applyAlignment="1">
      <alignment horizontal="left"/>
    </xf>
    <xf numFmtId="0" fontId="2" fillId="5"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3" borderId="0" xfId="0" applyFont="1" applyFill="1" applyAlignment="1">
      <alignment horizontal="left"/>
    </xf>
    <xf numFmtId="0" fontId="2" fillId="4" borderId="0" xfId="0" applyFont="1" applyFill="1" applyAlignment="1">
      <alignment horizontal="left"/>
    </xf>
    <xf numFmtId="0" fontId="0" fillId="11" borderId="0" xfId="0" applyFill="1" applyAlignment="1">
      <alignment vertical="center" wrapText="1"/>
    </xf>
    <xf numFmtId="0" fontId="15" fillId="4" borderId="0" xfId="0" applyFont="1" applyFill="1" applyAlignment="1">
      <alignment vertical="center"/>
    </xf>
    <xf numFmtId="0" fontId="0" fillId="0" borderId="7" xfId="0" applyBorder="1" applyAlignment="1">
      <alignment vertical="center"/>
    </xf>
    <xf numFmtId="0" fontId="0" fillId="0" borderId="8" xfId="0" applyBorder="1" applyAlignment="1">
      <alignment vertical="top" wrapText="1"/>
    </xf>
    <xf numFmtId="0" fontId="0" fillId="0" borderId="7" xfId="0" applyBorder="1" applyAlignment="1">
      <alignment vertical="center" wrapText="1"/>
    </xf>
    <xf numFmtId="0" fontId="24" fillId="2" borderId="4" xfId="0" applyFont="1" applyFill="1" applyBorder="1" applyAlignment="1">
      <alignment horizontal="center" vertical="center"/>
    </xf>
    <xf numFmtId="0" fontId="24" fillId="2" borderId="5" xfId="0" applyFont="1" applyFill="1" applyBorder="1" applyAlignment="1">
      <alignment horizontal="center" vertical="center"/>
    </xf>
    <xf numFmtId="0" fontId="23" fillId="0" borderId="6" xfId="0" applyFont="1" applyBorder="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5" fillId="0" borderId="0" xfId="0" applyFont="1" applyAlignment="1">
      <alignment horizontal="center" vertical="center"/>
    </xf>
    <xf numFmtId="0" fontId="26" fillId="0" borderId="0" xfId="0" applyFont="1" applyAlignment="1">
      <alignment horizontal="center" vertical="center"/>
    </xf>
    <xf numFmtId="0" fontId="0" fillId="13" borderId="0" xfId="0" applyFill="1"/>
  </cellXfs>
  <cellStyles count="3">
    <cellStyle name="Comma" xfId="1" builtinId="3"/>
    <cellStyle name="Hyperlink" xfId="2" builtinId="8"/>
    <cellStyle name="Normal" xfId="0" builtinId="0"/>
  </cellStyles>
  <dxfs count="100">
    <dxf>
      <numFmt numFmtId="166" formatCode="[$-409]h:mm\ AM/PM;@"/>
    </dxf>
    <dxf>
      <numFmt numFmtId="167" formatCode="m/d/yy;@"/>
    </dxf>
    <dxf>
      <numFmt numFmtId="169" formatCode="m/d/yyyy\ h:mm"/>
    </dxf>
    <dxf>
      <alignment horizontal="center"/>
    </dxf>
    <dxf>
      <alignment horizontal="right"/>
    </dxf>
    <dxf>
      <alignment horizontal="right"/>
    </dxf>
    <dxf>
      <numFmt numFmtId="1" formatCode="0"/>
    </dxf>
    <dxf>
      <alignment wrapText="1"/>
    </dxf>
    <dxf>
      <alignment horizontal="left"/>
    </dxf>
    <dxf>
      <alignment vertical="bottom"/>
    </dxf>
    <dxf>
      <alignment textRotation="0"/>
    </dxf>
    <dxf>
      <alignment vertical="center"/>
    </dxf>
    <dxf>
      <numFmt numFmtId="167" formatCode="m/d/yy;@"/>
    </dxf>
    <dxf>
      <alignment textRotation="180"/>
    </dxf>
    <dxf>
      <numFmt numFmtId="169" formatCode="m/d/yyyy\ h:mm"/>
    </dxf>
    <dxf>
      <numFmt numFmtId="170" formatCode="h:mm:ss"/>
    </dxf>
    <dxf>
      <numFmt numFmtId="166" formatCode="[$-409]h:mm\ AM/PM;@"/>
    </dxf>
    <dxf>
      <numFmt numFmtId="171" formatCode="m/d/yyyy"/>
    </dxf>
    <dxf>
      <alignment horizontal="center"/>
    </dxf>
    <dxf>
      <alignment vertical="center"/>
    </dxf>
    <dxf>
      <alignment textRotation="18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b/>
        <i val="0"/>
        <color rgb="FFFF8000"/>
      </font>
      <fill>
        <patternFill>
          <bgColor rgb="FFFFCC99"/>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alignment horizontal="righ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numFmt numFmtId="169" formatCode="m/d/yyyy\ h:mm"/>
    </dxf>
    <dxf>
      <numFmt numFmtId="171" formatCode="m/d/yyyy"/>
    </dxf>
    <dxf>
      <font>
        <b val="0"/>
        <i val="0"/>
        <strike val="0"/>
        <condense val="0"/>
        <extend val="0"/>
        <outline val="0"/>
        <shadow val="0"/>
        <u val="none"/>
        <vertAlign val="baseline"/>
        <sz val="11"/>
        <color theme="1"/>
        <name val="Calibri"/>
        <family val="2"/>
        <scheme val="minor"/>
      </font>
    </dxf>
    <dxf>
      <font>
        <color rgb="FF996600"/>
      </font>
      <fill>
        <patternFill>
          <bgColor rgb="FFFFE699"/>
        </patternFill>
      </fill>
    </dxf>
    <dxf>
      <font>
        <color rgb="FF006100"/>
      </font>
      <fill>
        <patternFill>
          <bgColor rgb="FFC6EFCE"/>
        </patternFill>
      </fill>
    </dxf>
    <dxf>
      <font>
        <b/>
        <i/>
        <color rgb="FF9C0006"/>
      </font>
      <fill>
        <patternFill>
          <bgColor rgb="FFFFC7CE"/>
        </patternFill>
      </fill>
    </dxf>
    <dxf>
      <font>
        <color rgb="FF996600"/>
      </font>
      <fill>
        <patternFill>
          <bgColor rgb="FFFFE699"/>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i val="0"/>
        <color rgb="FFFF8000"/>
      </font>
      <fill>
        <patternFill>
          <bgColor rgb="FFFFCC99"/>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4"/>
        <color theme="1"/>
        <name val="Calibri"/>
        <family val="2"/>
        <scheme val="minor"/>
      </font>
    </dxf>
    <dxf>
      <numFmt numFmtId="165" formatCode="0.0"/>
    </dxf>
    <dxf>
      <font>
        <b/>
        <i val="0"/>
        <color rgb="FFFF8000"/>
      </font>
      <fill>
        <patternFill>
          <bgColor rgb="FFFFCC99"/>
        </patternFill>
      </fill>
    </dxf>
    <dxf>
      <font>
        <color rgb="FF9C0006"/>
      </font>
      <fill>
        <patternFill>
          <bgColor rgb="FFFFC7CE"/>
        </patternFill>
      </fill>
    </dxf>
    <dxf>
      <font>
        <b/>
        <i val="0"/>
        <color rgb="FFFF0000"/>
      </font>
      <fill>
        <patternFill>
          <bgColor rgb="FFFFFF00"/>
        </patternFill>
      </fill>
    </dxf>
    <dxf>
      <font>
        <color rgb="FF9C0006"/>
      </font>
      <fill>
        <patternFill>
          <bgColor rgb="FFFFC7CE"/>
        </patternFill>
      </fill>
    </dxf>
    <dxf>
      <font>
        <color rgb="FF0066CC"/>
      </font>
      <fill>
        <patternFill>
          <bgColor rgb="FF99CCFF"/>
        </patternFill>
      </fill>
    </dxf>
    <dxf>
      <font>
        <color rgb="FFFF8000"/>
      </font>
      <fill>
        <patternFill>
          <bgColor rgb="FFFFCC99"/>
        </patternFill>
      </fill>
    </dxf>
    <dxf>
      <font>
        <color rgb="FFFF6600"/>
      </font>
      <fill>
        <patternFill>
          <bgColor rgb="FFFFE100"/>
        </patternFill>
      </fill>
    </dxf>
    <dxf>
      <font>
        <color rgb="FF0066CC"/>
      </font>
      <fill>
        <patternFill>
          <bgColor rgb="FF99CCFF"/>
        </patternFill>
      </fill>
    </dxf>
    <dxf>
      <font>
        <color rgb="FFC8C300"/>
      </font>
      <fill>
        <patternFill>
          <bgColor rgb="FFFFFFCC"/>
        </patternFill>
      </fill>
    </dxf>
    <dxf>
      <font>
        <color rgb="FF9C0006"/>
      </font>
      <fill>
        <patternFill>
          <bgColor rgb="FFFFC7CE"/>
        </patternFill>
      </fill>
    </dxf>
    <dxf>
      <font>
        <color rgb="FF006100"/>
      </font>
      <fill>
        <patternFill>
          <bgColor rgb="FFC6EFCE"/>
        </patternFill>
      </fill>
    </dxf>
    <dxf>
      <fill>
        <patternFill>
          <bgColor rgb="FFF0E1FF"/>
        </patternFill>
      </fill>
    </dxf>
    <dxf>
      <fill>
        <patternFill>
          <bgColor rgb="FFE1C3FF"/>
        </patternFill>
      </fill>
    </dxf>
    <dxf>
      <font>
        <b/>
        <i val="0"/>
        <color theme="0"/>
      </font>
      <fill>
        <patternFill>
          <bgColor rgb="FF8000FF"/>
        </patternFill>
      </fill>
    </dxf>
    <dxf>
      <fill>
        <patternFill>
          <bgColor rgb="FFE1FFF0"/>
        </patternFill>
      </fill>
    </dxf>
    <dxf>
      <fill>
        <patternFill>
          <bgColor rgb="FF99FFCC"/>
        </patternFill>
      </fill>
    </dxf>
    <dxf>
      <font>
        <b/>
        <i val="0"/>
      </font>
      <fill>
        <patternFill>
          <bgColor rgb="FF00CC66"/>
        </patternFill>
      </fill>
    </dxf>
    <dxf>
      <fill>
        <patternFill>
          <bgColor rgb="FFE1FFC3"/>
        </patternFill>
      </fill>
    </dxf>
    <dxf>
      <fill>
        <patternFill>
          <bgColor rgb="FF99FF33"/>
        </patternFill>
      </fill>
    </dxf>
    <dxf>
      <font>
        <b/>
        <i val="0"/>
      </font>
      <fill>
        <patternFill>
          <bgColor rgb="FF66CC00"/>
        </patternFill>
      </fill>
    </dxf>
    <dxf>
      <fill>
        <patternFill>
          <bgColor rgb="FFFFE1F0"/>
        </patternFill>
      </fill>
    </dxf>
    <dxf>
      <fill>
        <patternFill>
          <bgColor rgb="FFFF99CC"/>
        </patternFill>
      </fill>
    </dxf>
    <dxf>
      <font>
        <b/>
        <i val="0"/>
        <color theme="0"/>
      </font>
      <fill>
        <patternFill>
          <bgColor rgb="FFFF0080"/>
        </patternFill>
      </fill>
    </dxf>
    <dxf>
      <fill>
        <patternFill>
          <bgColor rgb="FFFFF0E1"/>
        </patternFill>
      </fill>
    </dxf>
    <dxf>
      <fill>
        <patternFill>
          <bgColor rgb="FFFFCC99"/>
        </patternFill>
      </fill>
    </dxf>
    <dxf>
      <font>
        <b/>
        <i val="0"/>
        <color theme="0"/>
      </font>
      <fill>
        <patternFill>
          <bgColor rgb="FFFF8000"/>
        </patternFill>
      </fill>
    </dxf>
    <dxf>
      <fill>
        <patternFill>
          <bgColor rgb="FFE6FFE6"/>
        </patternFill>
      </fill>
    </dxf>
    <dxf>
      <fill>
        <patternFill patternType="solid">
          <fgColor auto="1"/>
          <bgColor rgb="FF99FF99"/>
        </patternFill>
      </fill>
    </dxf>
    <dxf>
      <font>
        <b/>
        <color theme="0"/>
      </font>
      <fill>
        <patternFill patternType="solid">
          <fgColor auto="1"/>
          <bgColor rgb="FF009900"/>
        </patternFill>
      </fill>
      <border>
        <bottom style="thick">
          <color theme="0"/>
        </bottom>
      </border>
    </dxf>
    <dxf>
      <fill>
        <patternFill>
          <bgColor rgb="FFCCFFFF"/>
        </patternFill>
      </fill>
    </dxf>
    <dxf>
      <fill>
        <patternFill>
          <bgColor rgb="FF33FFFF"/>
        </patternFill>
      </fill>
    </dxf>
    <dxf>
      <font>
        <b/>
        <i val="0"/>
      </font>
      <fill>
        <patternFill>
          <bgColor rgb="FF00CCCC"/>
        </patternFill>
      </fill>
    </dxf>
    <dxf>
      <fill>
        <patternFill>
          <bgColor rgb="FFF0F0FF"/>
        </patternFill>
      </fill>
    </dxf>
    <dxf>
      <fill>
        <patternFill>
          <bgColor rgb="FFCCCCFF"/>
        </patternFill>
      </fill>
    </dxf>
    <dxf>
      <font>
        <b/>
        <i val="0"/>
        <color theme="0"/>
      </font>
      <fill>
        <patternFill>
          <bgColor rgb="FF0000FF"/>
        </patternFill>
      </fill>
    </dxf>
    <dxf>
      <fill>
        <patternFill>
          <bgColor rgb="FFE1F0FF"/>
        </patternFill>
      </fill>
    </dxf>
    <dxf>
      <fill>
        <patternFill>
          <bgColor rgb="FFB4E1FF"/>
        </patternFill>
      </fill>
    </dxf>
    <dxf>
      <font>
        <b/>
        <i val="0"/>
        <color theme="0"/>
      </font>
      <fill>
        <patternFill>
          <bgColor rgb="FF0079CC"/>
        </patternFill>
      </fill>
    </dxf>
  </dxfs>
  <tableStyles count="9" defaultTableStyle="TableStyleMedium2" defaultPivotStyle="PivotStyleLight16">
    <tableStyle name="Azure Stripe" pivot="0" count="3" xr9:uid="{00000000-0011-0000-FFFF-FFFF00000000}">
      <tableStyleElement type="headerRow" dxfId="99"/>
      <tableStyleElement type="firstRowStripe" dxfId="98"/>
      <tableStyleElement type="secondRowStripe" dxfId="97"/>
    </tableStyle>
    <tableStyle name="Blue stripe" pivot="0" count="3" xr9:uid="{00000000-0011-0000-FFFF-FFFF01000000}">
      <tableStyleElement type="headerRow" dxfId="96"/>
      <tableStyleElement type="firstRowStripe" dxfId="95"/>
      <tableStyleElement type="secondRowStripe" dxfId="94"/>
    </tableStyle>
    <tableStyle name="Cyan stripe" pivot="0" count="3" xr9:uid="{00000000-0011-0000-FFFF-FFFF02000000}">
      <tableStyleElement type="headerRow" dxfId="93"/>
      <tableStyleElement type="firstRowStripe" dxfId="92"/>
      <tableStyleElement type="secondRowStripe" dxfId="91"/>
    </tableStyle>
    <tableStyle name="Green stripe" pivot="0" count="3" xr9:uid="{00000000-0011-0000-FFFF-FFFF03000000}">
      <tableStyleElement type="headerRow" dxfId="90"/>
      <tableStyleElement type="firstRowStripe" dxfId="89"/>
      <tableStyleElement type="secondRowStripe" dxfId="88"/>
    </tableStyle>
    <tableStyle name="Orange stripe" pivot="0" count="3" xr9:uid="{00000000-0011-0000-FFFF-FFFF04000000}">
      <tableStyleElement type="headerRow" dxfId="87"/>
      <tableStyleElement type="firstRowStripe" dxfId="86"/>
      <tableStyleElement type="secondRowStripe" dxfId="85"/>
    </tableStyle>
    <tableStyle name="Pink stripe" pivot="0" count="3" xr9:uid="{00000000-0011-0000-FFFF-FFFF05000000}">
      <tableStyleElement type="headerRow" dxfId="84"/>
      <tableStyleElement type="firstRowStripe" dxfId="83"/>
      <tableStyleElement type="secondRowStripe" dxfId="82"/>
    </tableStyle>
    <tableStyle name="Spring stripe" pivot="0" count="3" xr9:uid="{00000000-0011-0000-FFFF-FFFF06000000}">
      <tableStyleElement type="headerRow" dxfId="81"/>
      <tableStyleElement type="firstRowStripe" dxfId="80"/>
      <tableStyleElement type="secondRowStripe" dxfId="79"/>
    </tableStyle>
    <tableStyle name="Teal stripe" pivot="0" count="3" xr9:uid="{00000000-0011-0000-FFFF-FFFF07000000}">
      <tableStyleElement type="headerRow" dxfId="78"/>
      <tableStyleElement type="firstRowStripe" dxfId="77"/>
      <tableStyleElement type="secondRowStripe" dxfId="76"/>
    </tableStyle>
    <tableStyle name="Violet stripe" pivot="0" count="3" xr9:uid="{00000000-0011-0000-FFFF-FFFF08000000}">
      <tableStyleElement type="headerRow" dxfId="75"/>
      <tableStyleElement type="firstRowStripe" dxfId="74"/>
      <tableStyleElement type="secondRowStripe" dxfId="73"/>
    </tableStyle>
  </tableStyles>
  <colors>
    <mruColors>
      <color rgb="FF000099"/>
      <color rgb="FFCCFFFF"/>
      <color rgb="FFFFE6CD"/>
      <color rgb="FFFFF0E1"/>
      <color rgb="FFFFE1FF"/>
      <color rgb="FFFF8000"/>
      <color rgb="FF99FF99"/>
      <color rgb="FFFF6699"/>
      <color rgb="FFFF6600"/>
      <color rgb="FFFFCC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8BD21D4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[GPAdminDashboardV4.xlsm]Tracking Pivot!PivotTracking</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hPercent val="50"/>
      <c:rotY val="125"/>
      <c:depthPercent val="700"/>
      <c:rAngAx val="0"/>
      <c:perspective val="50"/>
    </c:view3D>
    <c:floor>
      <c:thickness val="0"/>
      <c:spPr>
        <a:noFill/>
        <a:ln>
          <a:noFill/>
        </a:ln>
        <a:effectLst/>
        <a:sp3d/>
      </c:spPr>
    </c:floor>
    <c:sideWall>
      <c:thickness val="0"/>
      <c:spPr>
        <a:noFill/>
        <a:ln>
          <a:noFill/>
        </a:ln>
        <a:effectLst/>
        <a:sp3d/>
      </c:spPr>
    </c:sideWall>
    <c:backWall>
      <c:thickness val="0"/>
      <c:spPr>
        <a:noFill/>
        <a:ln>
          <a:noFill/>
        </a:ln>
        <a:effectLst/>
        <a:scene3d>
          <a:camera prst="orthographicFront"/>
          <a:lightRig rig="threePt" dir="t"/>
        </a:scene3d>
        <a:sp3d/>
      </c:spPr>
    </c:backWall>
    <c:plotArea>
      <c:layout>
        <c:manualLayout>
          <c:layoutTarget val="inner"/>
          <c:xMode val="edge"/>
          <c:yMode val="edge"/>
          <c:x val="0.11360516795488991"/>
          <c:y val="9.557907071570805E-2"/>
          <c:w val="0.87223276231223035"/>
          <c:h val="0.88671646813379101"/>
        </c:manualLayout>
      </c:layout>
      <c:bar3DChart>
        <c:barDir val="col"/>
        <c:grouping val="standard"/>
        <c:varyColors val="0"/>
        <c:ser>
          <c:idx val="0"/>
          <c:order val="0"/>
          <c:tx>
            <c:strRef>
              <c:f>'Tracking Pivot'!$B$3:$B$4</c:f>
              <c:strCache>
                <c:ptCount val="1"/>
                <c:pt idx="0">
                  <c:v>---</c:v>
                </c:pt>
              </c:strCache>
            </c:strRef>
          </c:tx>
          <c:spPr>
            <a:solidFill>
              <a:schemeClr val="accent1"/>
            </a:solidFill>
            <a:ln>
              <a:noFill/>
            </a:ln>
            <a:effectLst/>
            <a:sp3d/>
          </c:spPr>
          <c:invertIfNegative val="0"/>
          <c:cat>
            <c:strRef>
              <c:f>'Tracking Pivot'!$A$5:$A$21</c:f>
              <c:strCache>
                <c:ptCount val="17"/>
                <c:pt idx="0">
                  <c:v>09:35</c:v>
                </c:pt>
                <c:pt idx="1">
                  <c:v>09:40</c:v>
                </c:pt>
                <c:pt idx="2">
                  <c:v>09:45</c:v>
                </c:pt>
                <c:pt idx="3">
                  <c:v>09:50</c:v>
                </c:pt>
                <c:pt idx="4">
                  <c:v>09:55</c:v>
                </c:pt>
                <c:pt idx="5">
                  <c:v>10:00</c:v>
                </c:pt>
                <c:pt idx="6">
                  <c:v>10:05</c:v>
                </c:pt>
                <c:pt idx="7">
                  <c:v>10:10</c:v>
                </c:pt>
                <c:pt idx="8">
                  <c:v>10:15</c:v>
                </c:pt>
                <c:pt idx="9">
                  <c:v>10:20</c:v>
                </c:pt>
                <c:pt idx="10">
                  <c:v>10:25</c:v>
                </c:pt>
                <c:pt idx="11">
                  <c:v>10:30</c:v>
                </c:pt>
                <c:pt idx="12">
                  <c:v>10:35</c:v>
                </c:pt>
                <c:pt idx="13">
                  <c:v>10:40</c:v>
                </c:pt>
                <c:pt idx="14">
                  <c:v>10:45</c:v>
                </c:pt>
                <c:pt idx="15">
                  <c:v>10:50</c:v>
                </c:pt>
                <c:pt idx="16">
                  <c:v>10:55</c:v>
                </c:pt>
              </c:strCache>
            </c:strRef>
          </c:cat>
          <c:val>
            <c:numRef>
              <c:f>'Tracking Pivot'!$B$5:$B$21</c:f>
              <c:numCache>
                <c:formatCode>General</c:formatCode>
                <c:ptCount val="17"/>
                <c:pt idx="1">
                  <c:v>1</c:v>
                </c:pt>
                <c:pt idx="6">
                  <c:v>1</c:v>
                </c:pt>
                <c:pt idx="9">
                  <c:v>1</c:v>
                </c:pt>
                <c:pt idx="10">
                  <c:v>1</c:v>
                </c:pt>
                <c:pt idx="11">
                  <c:v>1</c:v>
                </c:pt>
                <c:pt idx="12">
                  <c:v>1</c:v>
                </c:pt>
                <c:pt idx="13">
                  <c:v>1</c:v>
                </c:pt>
                <c:pt idx="14">
                  <c:v>1</c:v>
                </c:pt>
                <c:pt idx="15">
                  <c:v>1</c:v>
                </c:pt>
              </c:numCache>
            </c:numRef>
          </c:val>
          <c:extLst>
            <c:ext xmlns:c16="http://schemas.microsoft.com/office/drawing/2014/chart" uri="{C3380CC4-5D6E-409C-BE32-E72D297353CC}">
              <c16:uniqueId val="{00000001-C620-440F-A08F-5EE788421FD3}"/>
            </c:ext>
          </c:extLst>
        </c:ser>
        <c:ser>
          <c:idx val="1"/>
          <c:order val="1"/>
          <c:tx>
            <c:strRef>
              <c:f>'Tracking Pivot'!$C$3:$C$4</c:f>
              <c:strCache>
                <c:ptCount val="1"/>
                <c:pt idx="0">
                  <c:v>LESSONUSER1</c:v>
                </c:pt>
              </c:strCache>
            </c:strRef>
          </c:tx>
          <c:spPr>
            <a:solidFill>
              <a:schemeClr val="accent2"/>
            </a:solidFill>
            <a:ln>
              <a:noFill/>
            </a:ln>
            <a:effectLst/>
            <a:sp3d/>
          </c:spPr>
          <c:invertIfNegative val="0"/>
          <c:cat>
            <c:strRef>
              <c:f>'Tracking Pivot'!$A$5:$A$21</c:f>
              <c:strCache>
                <c:ptCount val="17"/>
                <c:pt idx="0">
                  <c:v>09:35</c:v>
                </c:pt>
                <c:pt idx="1">
                  <c:v>09:40</c:v>
                </c:pt>
                <c:pt idx="2">
                  <c:v>09:45</c:v>
                </c:pt>
                <c:pt idx="3">
                  <c:v>09:50</c:v>
                </c:pt>
                <c:pt idx="4">
                  <c:v>09:55</c:v>
                </c:pt>
                <c:pt idx="5">
                  <c:v>10:00</c:v>
                </c:pt>
                <c:pt idx="6">
                  <c:v>10:05</c:v>
                </c:pt>
                <c:pt idx="7">
                  <c:v>10:10</c:v>
                </c:pt>
                <c:pt idx="8">
                  <c:v>10:15</c:v>
                </c:pt>
                <c:pt idx="9">
                  <c:v>10:20</c:v>
                </c:pt>
                <c:pt idx="10">
                  <c:v>10:25</c:v>
                </c:pt>
                <c:pt idx="11">
                  <c:v>10:30</c:v>
                </c:pt>
                <c:pt idx="12">
                  <c:v>10:35</c:v>
                </c:pt>
                <c:pt idx="13">
                  <c:v>10:40</c:v>
                </c:pt>
                <c:pt idx="14">
                  <c:v>10:45</c:v>
                </c:pt>
                <c:pt idx="15">
                  <c:v>10:50</c:v>
                </c:pt>
                <c:pt idx="16">
                  <c:v>10:55</c:v>
                </c:pt>
              </c:strCache>
            </c:strRef>
          </c:cat>
          <c:val>
            <c:numRef>
              <c:f>'Tracking Pivot'!$C$5:$C$21</c:f>
              <c:numCache>
                <c:formatCode>General</c:formatCode>
                <c:ptCount val="17"/>
                <c:pt idx="3">
                  <c:v>1</c:v>
                </c:pt>
                <c:pt idx="4">
                  <c:v>1</c:v>
                </c:pt>
                <c:pt idx="5">
                  <c:v>2</c:v>
                </c:pt>
                <c:pt idx="7">
                  <c:v>1</c:v>
                </c:pt>
                <c:pt idx="8">
                  <c:v>8</c:v>
                </c:pt>
                <c:pt idx="16">
                  <c:v>2</c:v>
                </c:pt>
              </c:numCache>
            </c:numRef>
          </c:val>
          <c:extLst>
            <c:ext xmlns:c16="http://schemas.microsoft.com/office/drawing/2014/chart" uri="{C3380CC4-5D6E-409C-BE32-E72D297353CC}">
              <c16:uniqueId val="{00000001-253F-4452-AE1C-8991018F49F1}"/>
            </c:ext>
          </c:extLst>
        </c:ser>
        <c:ser>
          <c:idx val="2"/>
          <c:order val="2"/>
          <c:tx>
            <c:strRef>
              <c:f>'Tracking Pivot'!$D$3:$D$4</c:f>
              <c:strCache>
                <c:ptCount val="1"/>
                <c:pt idx="0">
                  <c:v>LESSONUSER2</c:v>
                </c:pt>
              </c:strCache>
            </c:strRef>
          </c:tx>
          <c:spPr>
            <a:solidFill>
              <a:schemeClr val="accent3"/>
            </a:solidFill>
            <a:ln>
              <a:noFill/>
            </a:ln>
            <a:effectLst/>
            <a:sp3d/>
          </c:spPr>
          <c:invertIfNegative val="0"/>
          <c:cat>
            <c:strRef>
              <c:f>'Tracking Pivot'!$A$5:$A$21</c:f>
              <c:strCache>
                <c:ptCount val="17"/>
                <c:pt idx="0">
                  <c:v>09:35</c:v>
                </c:pt>
                <c:pt idx="1">
                  <c:v>09:40</c:v>
                </c:pt>
                <c:pt idx="2">
                  <c:v>09:45</c:v>
                </c:pt>
                <c:pt idx="3">
                  <c:v>09:50</c:v>
                </c:pt>
                <c:pt idx="4">
                  <c:v>09:55</c:v>
                </c:pt>
                <c:pt idx="5">
                  <c:v>10:00</c:v>
                </c:pt>
                <c:pt idx="6">
                  <c:v>10:05</c:v>
                </c:pt>
                <c:pt idx="7">
                  <c:v>10:10</c:v>
                </c:pt>
                <c:pt idx="8">
                  <c:v>10:15</c:v>
                </c:pt>
                <c:pt idx="9">
                  <c:v>10:20</c:v>
                </c:pt>
                <c:pt idx="10">
                  <c:v>10:25</c:v>
                </c:pt>
                <c:pt idx="11">
                  <c:v>10:30</c:v>
                </c:pt>
                <c:pt idx="12">
                  <c:v>10:35</c:v>
                </c:pt>
                <c:pt idx="13">
                  <c:v>10:40</c:v>
                </c:pt>
                <c:pt idx="14">
                  <c:v>10:45</c:v>
                </c:pt>
                <c:pt idx="15">
                  <c:v>10:50</c:v>
                </c:pt>
                <c:pt idx="16">
                  <c:v>10:55</c:v>
                </c:pt>
              </c:strCache>
            </c:strRef>
          </c:cat>
          <c:val>
            <c:numRef>
              <c:f>'Tracking Pivot'!$D$5:$D$21</c:f>
              <c:numCache>
                <c:formatCode>General</c:formatCode>
                <c:ptCount val="17"/>
                <c:pt idx="3">
                  <c:v>1</c:v>
                </c:pt>
                <c:pt idx="5">
                  <c:v>4</c:v>
                </c:pt>
                <c:pt idx="8">
                  <c:v>3</c:v>
                </c:pt>
                <c:pt idx="16">
                  <c:v>2</c:v>
                </c:pt>
              </c:numCache>
            </c:numRef>
          </c:val>
          <c:extLst>
            <c:ext xmlns:c16="http://schemas.microsoft.com/office/drawing/2014/chart" uri="{C3380CC4-5D6E-409C-BE32-E72D297353CC}">
              <c16:uniqueId val="{00000002-253F-4452-AE1C-8991018F49F1}"/>
            </c:ext>
          </c:extLst>
        </c:ser>
        <c:ser>
          <c:idx val="3"/>
          <c:order val="3"/>
          <c:tx>
            <c:strRef>
              <c:f>'Tracking Pivot'!$E$3:$E$4</c:f>
              <c:strCache>
                <c:ptCount val="1"/>
                <c:pt idx="0">
                  <c:v>sa</c:v>
                </c:pt>
              </c:strCache>
            </c:strRef>
          </c:tx>
          <c:spPr>
            <a:solidFill>
              <a:schemeClr val="accent4"/>
            </a:solidFill>
            <a:ln>
              <a:noFill/>
            </a:ln>
            <a:effectLst/>
            <a:sp3d/>
          </c:spPr>
          <c:invertIfNegative val="0"/>
          <c:cat>
            <c:strRef>
              <c:f>'Tracking Pivot'!$A$5:$A$21</c:f>
              <c:strCache>
                <c:ptCount val="17"/>
                <c:pt idx="0">
                  <c:v>09:35</c:v>
                </c:pt>
                <c:pt idx="1">
                  <c:v>09:40</c:v>
                </c:pt>
                <c:pt idx="2">
                  <c:v>09:45</c:v>
                </c:pt>
                <c:pt idx="3">
                  <c:v>09:50</c:v>
                </c:pt>
                <c:pt idx="4">
                  <c:v>09:55</c:v>
                </c:pt>
                <c:pt idx="5">
                  <c:v>10:00</c:v>
                </c:pt>
                <c:pt idx="6">
                  <c:v>10:05</c:v>
                </c:pt>
                <c:pt idx="7">
                  <c:v>10:10</c:v>
                </c:pt>
                <c:pt idx="8">
                  <c:v>10:15</c:v>
                </c:pt>
                <c:pt idx="9">
                  <c:v>10:20</c:v>
                </c:pt>
                <c:pt idx="10">
                  <c:v>10:25</c:v>
                </c:pt>
                <c:pt idx="11">
                  <c:v>10:30</c:v>
                </c:pt>
                <c:pt idx="12">
                  <c:v>10:35</c:v>
                </c:pt>
                <c:pt idx="13">
                  <c:v>10:40</c:v>
                </c:pt>
                <c:pt idx="14">
                  <c:v>10:45</c:v>
                </c:pt>
                <c:pt idx="15">
                  <c:v>10:50</c:v>
                </c:pt>
                <c:pt idx="16">
                  <c:v>10:55</c:v>
                </c:pt>
              </c:strCache>
            </c:strRef>
          </c:cat>
          <c:val>
            <c:numRef>
              <c:f>'Tracking Pivot'!$E$5:$E$21</c:f>
              <c:numCache>
                <c:formatCode>General</c:formatCode>
                <c:ptCount val="17"/>
                <c:pt idx="0">
                  <c:v>1</c:v>
                </c:pt>
                <c:pt idx="2">
                  <c:v>2</c:v>
                </c:pt>
                <c:pt idx="3">
                  <c:v>1</c:v>
                </c:pt>
                <c:pt idx="4">
                  <c:v>1</c:v>
                </c:pt>
                <c:pt idx="16">
                  <c:v>5</c:v>
                </c:pt>
              </c:numCache>
            </c:numRef>
          </c:val>
          <c:extLst>
            <c:ext xmlns:c16="http://schemas.microsoft.com/office/drawing/2014/chart" uri="{C3380CC4-5D6E-409C-BE32-E72D297353CC}">
              <c16:uniqueId val="{00000003-253F-4452-AE1C-8991018F49F1}"/>
            </c:ext>
          </c:extLst>
        </c:ser>
        <c:dLbls>
          <c:showLegendKey val="0"/>
          <c:showVal val="0"/>
          <c:showCatName val="0"/>
          <c:showSerName val="0"/>
          <c:showPercent val="0"/>
          <c:showBubbleSize val="0"/>
        </c:dLbls>
        <c:gapWidth val="150"/>
        <c:shape val="box"/>
        <c:axId val="1180324224"/>
        <c:axId val="1179069584"/>
        <c:axId val="1180883968"/>
      </c:bar3DChart>
      <c:catAx>
        <c:axId val="11803242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9069584"/>
        <c:crosses val="autoZero"/>
        <c:auto val="1"/>
        <c:lblAlgn val="ctr"/>
        <c:lblOffset val="100"/>
        <c:noMultiLvlLbl val="0"/>
      </c:catAx>
      <c:valAx>
        <c:axId val="1179069584"/>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0324224"/>
        <c:crosses val="autoZero"/>
        <c:crossBetween val="between"/>
        <c:majorUnit val="10"/>
      </c:valAx>
      <c:serAx>
        <c:axId val="118088396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2400000" spcFirstLastPara="1" vertOverflow="ellipsis"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179069584"/>
        <c:crosses val="autoZero"/>
      </c:serAx>
      <c:spPr>
        <a:noFill/>
        <a:ln>
          <a:noFill/>
        </a:ln>
        <a:effectLst/>
      </c:spPr>
    </c:plotArea>
    <c:legend>
      <c:legendPos val="l"/>
      <c:overlay val="0"/>
      <c:spPr>
        <a:noFill/>
        <a:ln>
          <a:noFill/>
        </a:ln>
        <a:effectLst/>
      </c:spPr>
      <c:txPr>
        <a:bodyPr rot="0" spcFirstLastPara="1" vertOverflow="ellipsis" vert="horz" wrap="square" anchor="ctr" anchorCtr="1"/>
        <a:lstStyle/>
        <a:p>
          <a:pPr rtl="0">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rot="0" vert="wordArtVert"/>
    <a:lstStyle/>
    <a:p>
      <a:pPr>
        <a:defRPr/>
      </a:pPr>
      <a:endParaRPr lang="en-US"/>
    </a:p>
  </c:txPr>
  <c:printSettings>
    <c:headerFooter/>
    <c:pageMargins b="0.75" l="0.25" r="0.25"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[GPAdminDashboardV4.xlsm]14-day Pivot!PivotTable1</c:name>
    <c:fmtId val="2"/>
  </c:pivotSource>
  <c:chart>
    <c:autoTitleDeleted val="1"/>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4"/>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67"/>
      </c:pivotFmt>
      <c:pivotFmt>
        <c:idx val="68"/>
      </c:pivotFmt>
      <c:pivotFmt>
        <c:idx val="69"/>
      </c:pivotFmt>
      <c:pivotFmt>
        <c:idx val="70"/>
      </c:pivotFmt>
      <c:pivotFmt>
        <c:idx val="71"/>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130"/>
      <c:depthPercent val="130"/>
      <c:rAngAx val="0"/>
      <c:perspective val="8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180086360172721E-2"/>
          <c:y val="6.4319713414201604E-2"/>
          <c:w val="0.80818935402858816"/>
          <c:h val="0.7740916260177455"/>
        </c:manualLayout>
      </c:layout>
      <c:bar3DChart>
        <c:barDir val="col"/>
        <c:grouping val="standard"/>
        <c:varyColors val="0"/>
        <c:ser>
          <c:idx val="0"/>
          <c:order val="0"/>
          <c:tx>
            <c:strRef>
              <c:f>'14-day Pivot'!$B$3:$B$4</c:f>
              <c:strCache>
                <c:ptCount val="1"/>
                <c:pt idx="0">
                  <c:v>2024-10-09</c:v>
                </c:pt>
              </c:strCache>
            </c:strRef>
          </c:tx>
          <c:spPr>
            <a:gradFill rotWithShape="1">
              <a:gsLst>
                <a:gs pos="0">
                  <a:schemeClr val="accent1">
                    <a:tint val="54000"/>
                    <a:satMod val="103000"/>
                    <a:lumMod val="102000"/>
                    <a:tint val="94000"/>
                  </a:schemeClr>
                </a:gs>
                <a:gs pos="50000">
                  <a:schemeClr val="accent1">
                    <a:tint val="54000"/>
                    <a:satMod val="110000"/>
                    <a:lumMod val="100000"/>
                    <a:shade val="100000"/>
                  </a:schemeClr>
                </a:gs>
                <a:gs pos="100000">
                  <a:schemeClr val="accent1">
                    <a:tint val="54000"/>
                    <a:lumMod val="99000"/>
                    <a:satMod val="120000"/>
                    <a:shade val="78000"/>
                  </a:schemeClr>
                </a:gs>
              </a:gsLst>
              <a:lin ang="5400000" scaled="0"/>
            </a:gradFill>
            <a:ln>
              <a:noFill/>
            </a:ln>
            <a:effectLst/>
            <a:sp3d/>
          </c:spPr>
          <c:invertIfNegative val="0"/>
          <c:cat>
            <c:strRef>
              <c:f>'14-day Pivot'!$A$5:$A$28</c:f>
              <c:strCache>
                <c:ptCount val="24"/>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'14-day Pivot'!$B$5:$B$28</c:f>
              <c:numCache>
                <c:formatCode>0</c:formatCode>
                <c:ptCount val="24"/>
                <c:pt idx="5">
                  <c:v>0</c:v>
                </c:pt>
                <c:pt idx="6">
                  <c:v>0</c:v>
                </c:pt>
                <c:pt idx="7">
                  <c:v>1</c:v>
                </c:pt>
                <c:pt idx="8">
                  <c:v>2</c:v>
                </c:pt>
                <c:pt idx="9">
                  <c:v>4</c:v>
                </c:pt>
                <c:pt idx="10">
                  <c:v>4</c:v>
                </c:pt>
                <c:pt idx="11">
                  <c:v>5</c:v>
                </c:pt>
                <c:pt idx="12">
                  <c:v>5</c:v>
                </c:pt>
                <c:pt idx="13">
                  <c:v>6</c:v>
                </c:pt>
                <c:pt idx="14">
                  <c:v>6</c:v>
                </c:pt>
                <c:pt idx="15">
                  <c:v>7</c:v>
                </c:pt>
                <c:pt idx="16">
                  <c:v>6</c:v>
                </c:pt>
                <c:pt idx="17">
                  <c:v>5</c:v>
                </c:pt>
                <c:pt idx="18">
                  <c:v>3</c:v>
                </c:pt>
                <c:pt idx="19">
                  <c:v>1</c:v>
                </c:pt>
                <c:pt idx="20">
                  <c:v>0</c:v>
                </c:pt>
                <c:pt idx="21">
                  <c:v>0</c:v>
                </c:pt>
                <c:pt idx="22">
                  <c:v>0</c:v>
                </c:pt>
                <c:pt idx="23">
                  <c:v>0</c:v>
                </c:pt>
              </c:numCache>
            </c:numRef>
          </c:val>
          <c:extLst>
            <c:ext xmlns:c16="http://schemas.microsoft.com/office/drawing/2014/chart" uri="{C3380CC4-5D6E-409C-BE32-E72D297353CC}">
              <c16:uniqueId val="{00000000-BA76-46AC-AEA5-D1263B3354AC}"/>
            </c:ext>
          </c:extLst>
        </c:ser>
        <c:ser>
          <c:idx val="1"/>
          <c:order val="1"/>
          <c:tx>
            <c:strRef>
              <c:f>'14-day Pivot'!$C$3:$C$4</c:f>
              <c:strCache>
                <c:ptCount val="1"/>
                <c:pt idx="0">
                  <c:v>2024-10-10</c:v>
                </c:pt>
              </c:strCache>
            </c:strRef>
          </c:tx>
          <c:spPr>
            <a:gradFill rotWithShape="1">
              <a:gsLst>
                <a:gs pos="0">
                  <a:schemeClr val="accent1">
                    <a:tint val="77000"/>
                    <a:satMod val="103000"/>
                    <a:lumMod val="102000"/>
                    <a:tint val="94000"/>
                  </a:schemeClr>
                </a:gs>
                <a:gs pos="50000">
                  <a:schemeClr val="accent1">
                    <a:tint val="77000"/>
                    <a:satMod val="110000"/>
                    <a:lumMod val="100000"/>
                    <a:shade val="100000"/>
                  </a:schemeClr>
                </a:gs>
                <a:gs pos="100000">
                  <a:schemeClr val="accent1">
                    <a:tint val="77000"/>
                    <a:lumMod val="99000"/>
                    <a:satMod val="120000"/>
                    <a:shade val="78000"/>
                  </a:schemeClr>
                </a:gs>
              </a:gsLst>
              <a:lin ang="5400000" scaled="0"/>
            </a:gradFill>
            <a:ln>
              <a:noFill/>
            </a:ln>
            <a:effectLst/>
            <a:sp3d/>
          </c:spPr>
          <c:invertIfNegative val="0"/>
          <c:cat>
            <c:strRef>
              <c:f>'14-day Pivot'!$A$5:$A$28</c:f>
              <c:strCache>
                <c:ptCount val="24"/>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'14-day Pivot'!$C$5:$C$28</c:f>
              <c:numCache>
                <c:formatCode>0</c:formatCode>
                <c:ptCount val="24"/>
                <c:pt idx="0">
                  <c:v>0</c:v>
                </c:pt>
                <c:pt idx="1">
                  <c:v>0</c:v>
                </c:pt>
                <c:pt idx="2">
                  <c:v>0</c:v>
                </c:pt>
                <c:pt idx="3">
                  <c:v>0</c:v>
                </c:pt>
                <c:pt idx="4">
                  <c:v>0</c:v>
                </c:pt>
                <c:pt idx="5">
                  <c:v>0</c:v>
                </c:pt>
                <c:pt idx="6">
                  <c:v>0</c:v>
                </c:pt>
                <c:pt idx="7">
                  <c:v>1</c:v>
                </c:pt>
                <c:pt idx="8">
                  <c:v>2</c:v>
                </c:pt>
                <c:pt idx="9">
                  <c:v>4</c:v>
                </c:pt>
                <c:pt idx="10">
                  <c:v>4</c:v>
                </c:pt>
                <c:pt idx="11">
                  <c:v>5</c:v>
                </c:pt>
                <c:pt idx="12">
                  <c:v>5</c:v>
                </c:pt>
                <c:pt idx="13">
                  <c:v>6</c:v>
                </c:pt>
                <c:pt idx="14">
                  <c:v>6</c:v>
                </c:pt>
                <c:pt idx="15">
                  <c:v>7</c:v>
                </c:pt>
                <c:pt idx="16">
                  <c:v>6</c:v>
                </c:pt>
                <c:pt idx="17">
                  <c:v>5</c:v>
                </c:pt>
                <c:pt idx="18">
                  <c:v>3</c:v>
                </c:pt>
                <c:pt idx="19">
                  <c:v>2</c:v>
                </c:pt>
                <c:pt idx="20">
                  <c:v>0</c:v>
                </c:pt>
                <c:pt idx="21">
                  <c:v>0</c:v>
                </c:pt>
                <c:pt idx="22">
                  <c:v>0</c:v>
                </c:pt>
                <c:pt idx="23">
                  <c:v>0</c:v>
                </c:pt>
              </c:numCache>
            </c:numRef>
          </c:val>
          <c:extLst>
            <c:ext xmlns:c16="http://schemas.microsoft.com/office/drawing/2014/chart" uri="{C3380CC4-5D6E-409C-BE32-E72D297353CC}">
              <c16:uniqueId val="{00000000-3B0F-472B-B5F2-4C0D8D621379}"/>
            </c:ext>
          </c:extLst>
        </c:ser>
        <c:ser>
          <c:idx val="2"/>
          <c:order val="2"/>
          <c:tx>
            <c:strRef>
              <c:f>'14-day Pivot'!$D$3:$D$4</c:f>
              <c:strCache>
                <c:ptCount val="1"/>
                <c:pt idx="0">
                  <c:v>2024-10-11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invertIfNegative val="0"/>
          <c:cat>
            <c:strRef>
              <c:f>'14-day Pivot'!$A$5:$A$28</c:f>
              <c:strCache>
                <c:ptCount val="24"/>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'14-day Pivot'!$D$5:$D$28</c:f>
              <c:numCache>
                <c:formatCode>0</c:formatCode>
                <c:ptCount val="24"/>
                <c:pt idx="0">
                  <c:v>0</c:v>
                </c:pt>
                <c:pt idx="1">
                  <c:v>0</c:v>
                </c:pt>
                <c:pt idx="2">
                  <c:v>0</c:v>
                </c:pt>
                <c:pt idx="3">
                  <c:v>0</c:v>
                </c:pt>
                <c:pt idx="4">
                  <c:v>0</c:v>
                </c:pt>
                <c:pt idx="5">
                  <c:v>0</c:v>
                </c:pt>
                <c:pt idx="6">
                  <c:v>0</c:v>
                </c:pt>
                <c:pt idx="7">
                  <c:v>0</c:v>
                </c:pt>
                <c:pt idx="8">
                  <c:v>2</c:v>
                </c:pt>
                <c:pt idx="9">
                  <c:v>3</c:v>
                </c:pt>
                <c:pt idx="10">
                  <c:v>4</c:v>
                </c:pt>
                <c:pt idx="11">
                  <c:v>5</c:v>
                </c:pt>
                <c:pt idx="12">
                  <c:v>5</c:v>
                </c:pt>
                <c:pt idx="13">
                  <c:v>3</c:v>
                </c:pt>
                <c:pt idx="14">
                  <c:v>3</c:v>
                </c:pt>
                <c:pt idx="15">
                  <c:v>4</c:v>
                </c:pt>
                <c:pt idx="16">
                  <c:v>6</c:v>
                </c:pt>
                <c:pt idx="17">
                  <c:v>5</c:v>
                </c:pt>
                <c:pt idx="18">
                  <c:v>3</c:v>
                </c:pt>
                <c:pt idx="19">
                  <c:v>1</c:v>
                </c:pt>
                <c:pt idx="20">
                  <c:v>0</c:v>
                </c:pt>
                <c:pt idx="21">
                  <c:v>0</c:v>
                </c:pt>
                <c:pt idx="22">
                  <c:v>0</c:v>
                </c:pt>
              </c:numCache>
            </c:numRef>
          </c:val>
          <c:extLst>
            <c:ext xmlns:c16="http://schemas.microsoft.com/office/drawing/2014/chart" uri="{C3380CC4-5D6E-409C-BE32-E72D297353CC}">
              <c16:uniqueId val="{00000000-39A0-43B3-8387-E5B5473F3A4C}"/>
            </c:ext>
          </c:extLst>
        </c:ser>
        <c:ser>
          <c:idx val="3"/>
          <c:order val="3"/>
          <c:tx>
            <c:strRef>
              <c:f>'14-day Pivot'!$E$3:$E$4</c:f>
              <c:strCache>
                <c:ptCount val="1"/>
                <c:pt idx="0">
                  <c:v>2024-10-12</c:v>
                </c:pt>
              </c:strCache>
            </c:strRef>
          </c:tx>
          <c:spPr>
            <a:gradFill rotWithShape="1">
              <a:gsLst>
                <a:gs pos="0">
                  <a:schemeClr val="accent1">
                    <a:shade val="76000"/>
                    <a:satMod val="103000"/>
                    <a:lumMod val="102000"/>
                    <a:tint val="94000"/>
                  </a:schemeClr>
                </a:gs>
                <a:gs pos="50000">
                  <a:schemeClr val="accent1">
                    <a:shade val="76000"/>
                    <a:satMod val="110000"/>
                    <a:lumMod val="100000"/>
                    <a:shade val="100000"/>
                  </a:schemeClr>
                </a:gs>
                <a:gs pos="100000">
                  <a:schemeClr val="accent1">
                    <a:shade val="76000"/>
                    <a:lumMod val="99000"/>
                    <a:satMod val="120000"/>
                    <a:shade val="78000"/>
                  </a:schemeClr>
                </a:gs>
              </a:gsLst>
              <a:lin ang="5400000" scaled="0"/>
            </a:gradFill>
            <a:ln>
              <a:noFill/>
            </a:ln>
            <a:effectLst/>
            <a:sp3d/>
          </c:spPr>
          <c:invertIfNegative val="0"/>
          <c:cat>
            <c:strRef>
              <c:f>'14-day Pivot'!$A$5:$A$28</c:f>
              <c:strCache>
                <c:ptCount val="24"/>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'14-day Pivot'!$E$5:$E$28</c:f>
              <c:numCache>
                <c:formatCode>0</c:formatCode>
                <c:ptCount val="24"/>
                <c:pt idx="0">
                  <c:v>0</c:v>
                </c:pt>
                <c:pt idx="1">
                  <c:v>0</c:v>
                </c:pt>
                <c:pt idx="2">
                  <c:v>0</c:v>
                </c:pt>
                <c:pt idx="3">
                  <c:v>0</c:v>
                </c:pt>
                <c:pt idx="4">
                  <c:v>0</c:v>
                </c:pt>
                <c:pt idx="5">
                  <c:v>0</c:v>
                </c:pt>
                <c:pt idx="6">
                  <c:v>0</c:v>
                </c:pt>
                <c:pt idx="7">
                  <c:v>1</c:v>
                </c:pt>
                <c:pt idx="8">
                  <c:v>2</c:v>
                </c:pt>
                <c:pt idx="9">
                  <c:v>3</c:v>
                </c:pt>
                <c:pt idx="10">
                  <c:v>4</c:v>
                </c:pt>
                <c:pt idx="11">
                  <c:v>5</c:v>
                </c:pt>
                <c:pt idx="12">
                  <c:v>5</c:v>
                </c:pt>
                <c:pt idx="13">
                  <c:v>3</c:v>
                </c:pt>
                <c:pt idx="14">
                  <c:v>3</c:v>
                </c:pt>
                <c:pt idx="15">
                  <c:v>4</c:v>
                </c:pt>
                <c:pt idx="16">
                  <c:v>6</c:v>
                </c:pt>
                <c:pt idx="17">
                  <c:v>1</c:v>
                </c:pt>
                <c:pt idx="18">
                  <c:v>1</c:v>
                </c:pt>
                <c:pt idx="19">
                  <c:v>0</c:v>
                </c:pt>
                <c:pt idx="20">
                  <c:v>1</c:v>
                </c:pt>
              </c:numCache>
            </c:numRef>
          </c:val>
          <c:extLst>
            <c:ext xmlns:c16="http://schemas.microsoft.com/office/drawing/2014/chart" uri="{C3380CC4-5D6E-409C-BE32-E72D297353CC}">
              <c16:uniqueId val="{00000001-39A0-43B3-8387-E5B5473F3A4C}"/>
            </c:ext>
          </c:extLst>
        </c:ser>
        <c:ser>
          <c:idx val="4"/>
          <c:order val="4"/>
          <c:tx>
            <c:strRef>
              <c:f>'14-day Pivot'!$F$3:$F$4</c:f>
              <c:strCache>
                <c:ptCount val="1"/>
                <c:pt idx="0">
                  <c:v>2024-10-14</c:v>
                </c:pt>
              </c:strCache>
            </c:strRef>
          </c:tx>
          <c:spPr>
            <a:gradFill rotWithShape="1">
              <a:gsLst>
                <a:gs pos="0">
                  <a:schemeClr val="accent1">
                    <a:shade val="53000"/>
                    <a:satMod val="103000"/>
                    <a:lumMod val="102000"/>
                    <a:tint val="94000"/>
                  </a:schemeClr>
                </a:gs>
                <a:gs pos="50000">
                  <a:schemeClr val="accent1">
                    <a:shade val="53000"/>
                    <a:satMod val="110000"/>
                    <a:lumMod val="100000"/>
                    <a:shade val="100000"/>
                  </a:schemeClr>
                </a:gs>
                <a:gs pos="100000">
                  <a:schemeClr val="accent1">
                    <a:shade val="53000"/>
                    <a:lumMod val="99000"/>
                    <a:satMod val="120000"/>
                    <a:shade val="78000"/>
                  </a:schemeClr>
                </a:gs>
              </a:gsLst>
              <a:lin ang="5400000" scaled="0"/>
            </a:gradFill>
            <a:ln>
              <a:noFill/>
            </a:ln>
            <a:effectLst/>
            <a:sp3d/>
          </c:spPr>
          <c:invertIfNegative val="0"/>
          <c:cat>
            <c:strRef>
              <c:f>'14-day Pivot'!$A$5:$A$28</c:f>
              <c:strCache>
                <c:ptCount val="24"/>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'14-day Pivot'!$F$5:$F$28</c:f>
              <c:numCache>
                <c:formatCode>0</c:formatCode>
                <c:ptCount val="24"/>
                <c:pt idx="8">
                  <c:v>0</c:v>
                </c:pt>
                <c:pt idx="9">
                  <c:v>1</c:v>
                </c:pt>
                <c:pt idx="10">
                  <c:v>3</c:v>
                </c:pt>
                <c:pt idx="11">
                  <c:v>3</c:v>
                </c:pt>
              </c:numCache>
            </c:numRef>
          </c:val>
          <c:extLst>
            <c:ext xmlns:c16="http://schemas.microsoft.com/office/drawing/2014/chart" uri="{C3380CC4-5D6E-409C-BE32-E72D297353CC}">
              <c16:uniqueId val="{00000002-39A0-43B3-8387-E5B5473F3A4C}"/>
            </c:ext>
          </c:extLst>
        </c:ser>
        <c:dLbls>
          <c:showLegendKey val="0"/>
          <c:showVal val="0"/>
          <c:showCatName val="0"/>
          <c:showSerName val="0"/>
          <c:showPercent val="0"/>
          <c:showBubbleSize val="0"/>
        </c:dLbls>
        <c:gapWidth val="150"/>
        <c:shape val="box"/>
        <c:axId val="1178441183"/>
        <c:axId val="1759062415"/>
        <c:axId val="447843471"/>
      </c:bar3DChart>
      <c:catAx>
        <c:axId val="1178441183"/>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1759062415"/>
        <c:crosses val="autoZero"/>
        <c:auto val="1"/>
        <c:lblAlgn val="ctr"/>
        <c:lblOffset val="100"/>
        <c:noMultiLvlLbl val="0"/>
      </c:catAx>
      <c:valAx>
        <c:axId val="1759062415"/>
        <c:scaling>
          <c:orientation val="minMax"/>
        </c:scaling>
        <c:delete val="0"/>
        <c:axPos val="r"/>
        <c:majorGridlines>
          <c:spPr>
            <a:ln w="9525" cap="flat" cmpd="sng" algn="ctr">
              <a:solidFill>
                <a:schemeClr val="tx2">
                  <a:lumMod val="15000"/>
                  <a:lumOff val="85000"/>
                </a:schemeClr>
              </a:solidFill>
              <a:round/>
            </a:ln>
            <a:effectLst/>
          </c:spPr>
        </c:majorGridlines>
        <c:title>
          <c:tx>
            <c:rich>
              <a:bodyPr rot="0" spcFirstLastPara="1" vertOverflow="ellipsis" wrap="square" anchor="ctr" anchorCtr="1"/>
              <a:lstStyle/>
              <a:p>
                <a:pPr>
                  <a:defRPr sz="900" b="1" i="0" u="none" strike="noStrike" kern="1200" baseline="0">
                    <a:solidFill>
                      <a:schemeClr val="tx2"/>
                    </a:solidFill>
                    <a:latin typeface="+mn-lt"/>
                    <a:ea typeface="+mn-ea"/>
                    <a:cs typeface="+mn-cs"/>
                  </a:defRPr>
                </a:pPr>
                <a:r>
                  <a:rPr lang="en-US"/>
                  <a:t>GP Licenses in use</a:t>
                </a:r>
              </a:p>
            </c:rich>
          </c:tx>
          <c:layout>
            <c:manualLayout>
              <c:xMode val="edge"/>
              <c:yMode val="edge"/>
              <c:x val="0.45309265320042602"/>
              <c:y val="0.95560891959408067"/>
            </c:manualLayout>
          </c:layout>
          <c:overlay val="0"/>
          <c:spPr>
            <a:noFill/>
            <a:ln>
              <a:noFill/>
            </a:ln>
            <a:effectLst/>
          </c:spPr>
          <c:txPr>
            <a:bodyPr rot="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78441183"/>
        <c:crosses val="autoZero"/>
        <c:crossBetween val="between"/>
      </c:valAx>
      <c:serAx>
        <c:axId val="447843471"/>
        <c:scaling>
          <c:orientation val="minMax"/>
        </c:scaling>
        <c:delete val="0"/>
        <c:axPos val="b"/>
        <c:numFmt formatCode="m/d;@" sourceLinked="1"/>
        <c:majorTickMark val="out"/>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175906241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a:scene3d>
      <a:camera prst="orthographicFront"/>
      <a:lightRig rig="threePt" dir="t"/>
    </a:scene3d>
    <a:sp3d prstMaterial="dkEdge"/>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GP License use every 10 minutes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'12-hr'!$C$3</c:f>
              <c:strCache>
                <c:ptCount val="1"/>
                <c:pt idx="0">
                  <c:v>ACTIVITY</c:v>
                </c:pt>
              </c:strCache>
            </c:strRef>
          </c:tx>
          <c:spPr>
            <a:ln w="28575" cap="rnd">
              <a:solidFill>
                <a:schemeClr val="accent1"/>
              </a:solidFill>
              <a:round/>
            </a:ln>
            <a:effectLst/>
          </c:spPr>
          <c:marker>
            <c:symbol val="none"/>
          </c:marker>
          <c:cat>
            <c:numRef>
              <c:f>'12-hr'!$B$4:$B$13</c:f>
              <c:numCache>
                <c:formatCode>[$-409]h:mm\ AM/PM;@</c:formatCode>
                <c:ptCount val="10"/>
                <c:pt idx="0">
                  <c:v>45579.402777777781</c:v>
                </c:pt>
                <c:pt idx="1">
                  <c:v>45579.409733796296</c:v>
                </c:pt>
                <c:pt idx="2">
                  <c:v>45579.416666666664</c:v>
                </c:pt>
                <c:pt idx="3">
                  <c:v>45579.423611111109</c:v>
                </c:pt>
                <c:pt idx="4">
                  <c:v>45579.430567129632</c:v>
                </c:pt>
                <c:pt idx="5">
                  <c:v>45579.437511574077</c:v>
                </c:pt>
                <c:pt idx="6">
                  <c:v>45579.444444444445</c:v>
                </c:pt>
                <c:pt idx="7">
                  <c:v>45579.458344907405</c:v>
                </c:pt>
                <c:pt idx="8">
                  <c:v>45579.465277777781</c:v>
                </c:pt>
                <c:pt idx="9">
                  <c:v>45579.472233796296</c:v>
                </c:pt>
              </c:numCache>
            </c:numRef>
          </c:cat>
          <c:val>
            <c:numRef>
              <c:f>'12-hr'!$C$4:$C$13</c:f>
              <c:numCache>
                <c:formatCode>General</c:formatCode>
                <c:ptCount val="10"/>
                <c:pt idx="0">
                  <c:v>1</c:v>
                </c:pt>
                <c:pt idx="1">
                  <c:v>1</c:v>
                </c:pt>
                <c:pt idx="2">
                  <c:v>3</c:v>
                </c:pt>
                <c:pt idx="3">
                  <c:v>2</c:v>
                </c:pt>
                <c:pt idx="4">
                  <c:v>3</c:v>
                </c:pt>
                <c:pt idx="5">
                  <c:v>3</c:v>
                </c:pt>
                <c:pt idx="6">
                  <c:v>3</c:v>
                </c:pt>
                <c:pt idx="7">
                  <c:v>3</c:v>
                </c:pt>
                <c:pt idx="8">
                  <c:v>2</c:v>
                </c:pt>
                <c:pt idx="9">
                  <c:v>2</c:v>
                </c:pt>
              </c:numCache>
            </c:numRef>
          </c:val>
          <c:smooth val="0"/>
          <c:extLst>
            <c:ext xmlns:c16="http://schemas.microsoft.com/office/drawing/2014/chart" uri="{C3380CC4-5D6E-409C-BE32-E72D297353CC}">
              <c16:uniqueId val="{00000000-5946-4E81-949D-F1A2204F4441}"/>
            </c:ext>
          </c:extLst>
        </c:ser>
        <c:dLbls>
          <c:showLegendKey val="0"/>
          <c:showVal val="0"/>
          <c:showCatName val="0"/>
          <c:showSerName val="0"/>
          <c:showPercent val="0"/>
          <c:showBubbleSize val="0"/>
        </c:dLbls>
        <c:smooth val="0"/>
        <c:axId val="568127263"/>
        <c:axId val="2119481183"/>
      </c:lineChart>
      <c:catAx>
        <c:axId val="568127263"/>
        <c:scaling>
          <c:orientation val="minMax"/>
        </c:scaling>
        <c:delete val="0"/>
        <c:axPos val="b"/>
        <c:majorGridlines>
          <c:spPr>
            <a:ln w="9525" cap="flat" cmpd="sng" algn="ctr">
              <a:solidFill>
                <a:schemeClr val="tx1">
                  <a:lumMod val="15000"/>
                  <a:lumOff val="85000"/>
                </a:schemeClr>
              </a:solidFill>
              <a:round/>
            </a:ln>
            <a:effectLst/>
          </c:spPr>
        </c:majorGridlines>
        <c:numFmt formatCode="[$-409]h:mm\ AM/PM;@" sourceLinked="1"/>
        <c:majorTickMark val="out"/>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481183"/>
        <c:crosses val="autoZero"/>
        <c:auto val="1"/>
        <c:lblAlgn val="ctr"/>
        <c:lblOffset val="100"/>
        <c:noMultiLvlLbl val="1"/>
      </c:catAx>
      <c:valAx>
        <c:axId val="2119481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27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08">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0</xdr:row>
          <xdr:rowOff>60960</xdr:rowOff>
        </xdr:from>
        <xdr:to>
          <xdr:col>7</xdr:col>
          <xdr:colOff>723900</xdr:colOff>
          <xdr:row>1</xdr:row>
          <xdr:rowOff>0</xdr:rowOff>
        </xdr:to>
        <xdr:sp macro="" textlink="">
          <xdr:nvSpPr>
            <xdr:cNvPr id="1025" name="cmdRemoveSQLOrpha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171450</xdr:colOff>
      <xdr:row>10</xdr:row>
      <xdr:rowOff>180975</xdr:rowOff>
    </xdr:from>
    <xdr:to>
      <xdr:col>17</xdr:col>
      <xdr:colOff>485775</xdr:colOff>
      <xdr:row>22</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534900" y="2343150"/>
          <a:ext cx="2143125" cy="2228850"/>
        </a:xfrm>
        <a:prstGeom prst="rect">
          <a:avLst/>
        </a:prstGeom>
        <a:solidFill>
          <a:srgbClr val="FFE6CD"/>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 Note: The orange "</a:t>
          </a:r>
          <a:r>
            <a:rPr lang="en-US" sz="1100" b="1">
              <a:solidFill>
                <a:srgbClr val="FF8000"/>
              </a:solidFill>
            </a:rPr>
            <a:t>No match</a:t>
          </a:r>
          <a:r>
            <a:rPr lang="en-US" sz="1100"/>
            <a:t>" flag only means that there is no sysprocesses record that matches the DEX_SESSION record for that user. Not an issue; except that the user will most likely see the "FP Can't close table" error several times upon exiting GP. The "No match" will clear up when the user (finally) Exits GP. The "Remove SQL Orphans" button does </a:t>
          </a:r>
          <a:r>
            <a:rPr lang="en-US" sz="1100" b="1" i="1"/>
            <a:t>not</a:t>
          </a:r>
          <a:r>
            <a:rPr lang="en-US" sz="1100"/>
            <a:t> clear it.</a:t>
          </a:r>
        </a:p>
      </xdr:txBody>
    </xdr:sp>
    <xdr:clientData/>
  </xdr:twoCellAnchor>
  <xdr:twoCellAnchor>
    <xdr:from>
      <xdr:col>14</xdr:col>
      <xdr:colOff>161925</xdr:colOff>
      <xdr:row>0</xdr:row>
      <xdr:rowOff>66675</xdr:rowOff>
    </xdr:from>
    <xdr:to>
      <xdr:col>17</xdr:col>
      <xdr:colOff>476250</xdr:colOff>
      <xdr:row>10</xdr:row>
      <xdr:rowOff>76200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525375" y="66675"/>
          <a:ext cx="2143125" cy="2171700"/>
        </a:xfrm>
        <a:prstGeom prst="rect">
          <a:avLst/>
        </a:prstGeom>
        <a:solidFill>
          <a:srgbClr val="FFE1FF"/>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Note: The red "</a:t>
          </a:r>
          <a:r>
            <a:rPr lang="en-US" sz="1100" b="1">
              <a:solidFill>
                <a:srgbClr val="FF0000"/>
              </a:solidFill>
            </a:rPr>
            <a:t>No SQL session</a:t>
          </a:r>
          <a:r>
            <a:rPr lang="en-US" sz="1100"/>
            <a:t>" flag in the Status column of the User list still looks like an active, licensed session to GP, and it counts towards the company's GP license limit. The orphaned user him/herself can free up that license by logging into GP again and deleting that session and then logging out...OR you can simply click the "Remove SQL Orphans" button to clear it.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60960</xdr:rowOff>
        </xdr:from>
        <xdr:to>
          <xdr:col>6</xdr:col>
          <xdr:colOff>655320</xdr:colOff>
          <xdr:row>1</xdr:row>
          <xdr:rowOff>175260</xdr:rowOff>
        </xdr:to>
        <xdr:sp macro="" textlink="">
          <xdr:nvSpPr>
            <xdr:cNvPr id="10241" name="cmdRemoveLocks"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0</xdr:row>
          <xdr:rowOff>38100</xdr:rowOff>
        </xdr:from>
        <xdr:to>
          <xdr:col>9</xdr:col>
          <xdr:colOff>556260</xdr:colOff>
          <xdr:row>1</xdr:row>
          <xdr:rowOff>182880</xdr:rowOff>
        </xdr:to>
        <xdr:sp macro="" textlink="">
          <xdr:nvSpPr>
            <xdr:cNvPr id="7169" name="cmdRemoveUnmatchedBatches"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0</xdr:row>
          <xdr:rowOff>38100</xdr:rowOff>
        </xdr:from>
        <xdr:to>
          <xdr:col>9</xdr:col>
          <xdr:colOff>655320</xdr:colOff>
          <xdr:row>1</xdr:row>
          <xdr:rowOff>114300</xdr:rowOff>
        </xdr:to>
        <xdr:sp macro="" textlink="">
          <xdr:nvSpPr>
            <xdr:cNvPr id="8193" name="cmdCloseResources"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594360</xdr:colOff>
          <xdr:row>0</xdr:row>
          <xdr:rowOff>76200</xdr:rowOff>
        </xdr:from>
        <xdr:to>
          <xdr:col>10</xdr:col>
          <xdr:colOff>60960</xdr:colOff>
          <xdr:row>1</xdr:row>
          <xdr:rowOff>137160</xdr:rowOff>
        </xdr:to>
        <xdr:sp macro="" textlink="">
          <xdr:nvSpPr>
            <xdr:cNvPr id="4097" name="cmdRemoveSessions"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85725</xdr:colOff>
      <xdr:row>4</xdr:row>
      <xdr:rowOff>47625</xdr:rowOff>
    </xdr:from>
    <xdr:to>
      <xdr:col>38</xdr:col>
      <xdr:colOff>209549</xdr:colOff>
      <xdr:row>37</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361950</xdr:colOff>
      <xdr:row>1</xdr:row>
      <xdr:rowOff>0</xdr:rowOff>
    </xdr:from>
    <xdr:to>
      <xdr:col>18</xdr:col>
      <xdr:colOff>369093</xdr:colOff>
      <xdr:row>38</xdr:row>
      <xdr:rowOff>28576</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471486</xdr:colOff>
      <xdr:row>2</xdr:row>
      <xdr:rowOff>114299</xdr:rowOff>
    </xdr:from>
    <xdr:to>
      <xdr:col>19</xdr:col>
      <xdr:colOff>428625</xdr:colOff>
      <xdr:row>32</xdr:row>
      <xdr:rowOff>85724</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4</xdr:row>
          <xdr:rowOff>274320</xdr:rowOff>
        </xdr:from>
        <xdr:to>
          <xdr:col>7</xdr:col>
          <xdr:colOff>754380</xdr:colOff>
          <xdr:row>5</xdr:row>
          <xdr:rowOff>121920</xdr:rowOff>
        </xdr:to>
        <xdr:sp macro="" textlink="">
          <xdr:nvSpPr>
            <xdr:cNvPr id="14338" name="cmdShowConnections"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xdr:row>
          <xdr:rowOff>30480</xdr:rowOff>
        </xdr:from>
        <xdr:to>
          <xdr:col>1</xdr:col>
          <xdr:colOff>1676400</xdr:colOff>
          <xdr:row>7</xdr:row>
          <xdr:rowOff>7620</xdr:rowOff>
        </xdr:to>
        <xdr:sp macro="" textlink="">
          <xdr:nvSpPr>
            <xdr:cNvPr id="14339" name="cmdUpdateConnections" hidden="1">
              <a:extLst>
                <a:ext uri="{63B3BB69-23CF-44E3-9099-C40C66FF867C}">
                  <a14:compatExt spid="_x0000_s14339"/>
                </a:ext>
                <a:ext uri="{FF2B5EF4-FFF2-40B4-BE49-F238E27FC236}">
                  <a16:creationId xmlns:a16="http://schemas.microsoft.com/office/drawing/2014/main" id="{00000000-0008-0000-0F00-000003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144780</xdr:colOff>
          <xdr:row>2</xdr:row>
          <xdr:rowOff>76200</xdr:rowOff>
        </xdr:from>
        <xdr:to>
          <xdr:col>1</xdr:col>
          <xdr:colOff>1684020</xdr:colOff>
          <xdr:row>2</xdr:row>
          <xdr:rowOff>457200</xdr:rowOff>
        </xdr:to>
        <xdr:sp macro="" textlink="">
          <xdr:nvSpPr>
            <xdr:cNvPr id="14340" name="cmdTestCommandText" hidden="1">
              <a:extLst>
                <a:ext uri="{63B3BB69-23CF-44E3-9099-C40C66FF867C}">
                  <a14:compatExt spid="_x0000_s14340"/>
                </a:ext>
                <a:ext uri="{FF2B5EF4-FFF2-40B4-BE49-F238E27FC236}">
                  <a16:creationId xmlns:a16="http://schemas.microsoft.com/office/drawing/2014/main" id="{00000000-0008-0000-0F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175260</xdr:colOff>
          <xdr:row>10</xdr:row>
          <xdr:rowOff>30480</xdr:rowOff>
        </xdr:from>
        <xdr:to>
          <xdr:col>5</xdr:col>
          <xdr:colOff>403860</xdr:colOff>
          <xdr:row>11</xdr:row>
          <xdr:rowOff>160020</xdr:rowOff>
        </xdr:to>
        <xdr:sp macro="" textlink="">
          <xdr:nvSpPr>
            <xdr:cNvPr id="14341" name="cmdSetRefreshInterval" hidden="1">
              <a:extLst>
                <a:ext uri="{63B3BB69-23CF-44E3-9099-C40C66FF867C}">
                  <a14:compatExt spid="_x0000_s14341"/>
                </a:ext>
                <a:ext uri="{FF2B5EF4-FFF2-40B4-BE49-F238E27FC236}">
                  <a16:creationId xmlns:a16="http://schemas.microsoft.com/office/drawing/2014/main" id="{00000000-0008-0000-0F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xdr:colOff>
          <xdr:row>6</xdr:row>
          <xdr:rowOff>30480</xdr:rowOff>
        </xdr:from>
        <xdr:to>
          <xdr:col>7</xdr:col>
          <xdr:colOff>822960</xdr:colOff>
          <xdr:row>6</xdr:row>
          <xdr:rowOff>350520</xdr:rowOff>
        </xdr:to>
        <xdr:sp macro="" textlink="">
          <xdr:nvSpPr>
            <xdr:cNvPr id="14342" name="cmdSetRefreshTo0" hidden="1">
              <a:extLst>
                <a:ext uri="{63B3BB69-23CF-44E3-9099-C40C66FF867C}">
                  <a14:compatExt spid="_x0000_s14342"/>
                </a:ext>
                <a:ext uri="{FF2B5EF4-FFF2-40B4-BE49-F238E27FC236}">
                  <a16:creationId xmlns:a16="http://schemas.microsoft.com/office/drawing/2014/main" id="{00000000-0008-0000-0F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373380</xdr:colOff>
          <xdr:row>4</xdr:row>
          <xdr:rowOff>83820</xdr:rowOff>
        </xdr:from>
        <xdr:to>
          <xdr:col>1</xdr:col>
          <xdr:colOff>1455420</xdr:colOff>
          <xdr:row>4</xdr:row>
          <xdr:rowOff>365760</xdr:rowOff>
        </xdr:to>
        <xdr:sp macro="" textlink="">
          <xdr:nvSpPr>
            <xdr:cNvPr id="14343" name="chkLockUpdateConnectionsButton" hidden="1">
              <a:extLst>
                <a:ext uri="{63B3BB69-23CF-44E3-9099-C40C66FF867C}">
                  <a14:compatExt spid="_x0000_s14343"/>
                </a:ext>
                <a:ext uri="{FF2B5EF4-FFF2-40B4-BE49-F238E27FC236}">
                  <a16:creationId xmlns:a16="http://schemas.microsoft.com/office/drawing/2014/main" id="{00000000-0008-0000-0F00-0000073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3</xdr:col>
      <xdr:colOff>457200</xdr:colOff>
      <xdr:row>5</xdr:row>
      <xdr:rowOff>104775</xdr:rowOff>
    </xdr:from>
    <xdr:to>
      <xdr:col>5</xdr:col>
      <xdr:colOff>571500</xdr:colOff>
      <xdr:row>7</xdr:row>
      <xdr:rowOff>142875</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4238625" y="1933575"/>
          <a:ext cx="2057400" cy="609600"/>
        </a:xfrm>
        <a:prstGeom prst="rect">
          <a:avLst/>
        </a:prstGeom>
        <a:solidFill>
          <a:srgbClr val="CC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i="1"/>
            <a:t>(Click</a:t>
          </a:r>
          <a:r>
            <a:rPr lang="en-US" sz="1100" i="1" baseline="0"/>
            <a:t> the "Set Refresh to 0 mins." button if you only want to refresh the Dashboard manually)</a:t>
          </a:r>
          <a:endParaRPr lang="en-US" sz="1100" i="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TempPath\PlaceHolderGL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579.461148842594" createdVersion="6" refreshedVersion="8" minRefreshableVersion="3" recordCount="44" xr:uid="{C4ECB278-B9BE-463E-BC36-E0DEBAA3E6BF}">
  <cacheSource type="worksheet">
    <worksheetSource name="tblTracking"/>
  </cacheSource>
  <cacheFields count="11">
    <cacheField name="Company" numFmtId="0">
      <sharedItems/>
    </cacheField>
    <cacheField name="UserID" numFmtId="0">
      <sharedItems containsBlank="1" count="17">
        <s v="sa"/>
        <s v="LESSONUSER1"/>
        <s v="LESSONUSER2"/>
        <s v="---"/>
        <m u="1"/>
        <s v="dvanrens" u="1"/>
        <s v="elinn" u="1"/>
        <s v="ajenquin" u="1"/>
        <s v="cschumer" u="1"/>
        <s v="mwittman" u="1"/>
        <s v="afameree" u="1"/>
        <s v="bbombay" u="1"/>
        <s v="cbartsch" u="1"/>
        <s v="mschwiner" u="1"/>
        <s v="serbach" u="1"/>
        <s v="aosmus" u="1"/>
        <s v="jkozak" u="1"/>
      </sharedItems>
    </cacheField>
    <cacheField name="INQYTYPE" numFmtId="0">
      <sharedItems containsSemiMixedTypes="0" containsString="0" containsNumber="1" containsInteger="1" minValue="0" maxValue="15"/>
    </cacheField>
    <cacheField name="DATE1" numFmtId="14">
      <sharedItems containsNonDate="0"/>
    </cacheField>
    <cacheField name="TIME1" numFmtId="166">
      <sharedItems containsNonDate="0"/>
    </cacheField>
    <cacheField name="Description" numFmtId="0">
      <sharedItems/>
    </cacheField>
    <cacheField name="FiveMinPeriod" numFmtId="21">
      <sharedItems containsNonDate="0"/>
    </cacheField>
    <cacheField name="Code" numFmtId="0">
      <sharedItems/>
    </cacheField>
    <cacheField name="FiveMinSegment" numFmtId="0">
      <sharedItems containsSemiMixedTypes="0" containsString="0" containsNumber="1" containsInteger="1" minValue="115" maxValue="131"/>
    </cacheField>
    <cacheField name="origTIME1" numFmtId="22">
      <sharedItems containsSemiMixedTypes="0" containsNonDate="0" containsDate="1" containsString="0" minDate="1899-12-31T09:35:57" maxDate="1899-12-31T10:58:56"/>
    </cacheField>
    <cacheField name="minTime" numFmtId="0">
      <sharedItems containsBlank="1" count="194">
        <s v="10:55"/>
        <s v="10:50"/>
        <s v="10:45"/>
        <s v="10:40"/>
        <s v="10:35"/>
        <s v="10:30"/>
        <s v="10:25"/>
        <s v="10:20"/>
        <s v="10:15"/>
        <s v="10:10"/>
        <s v="10:05"/>
        <s v="10:00"/>
        <s v="09:55"/>
        <s v="09:50"/>
        <s v="09:45"/>
        <s v="09:40"/>
        <s v="09:35"/>
        <s v="18:35" u="1"/>
        <s v="18:30" u="1"/>
        <s v="18:25" u="1"/>
        <s v="18:20" u="1"/>
        <s v="18:15" u="1"/>
        <s v="18:10" u="1"/>
        <s v="18:05" u="1"/>
        <s v="18:00" u="1"/>
        <s v="17:55" u="1"/>
        <s v="17:50" u="1"/>
        <s v="17:45" u="1"/>
        <s v="17:40" u="1"/>
        <s v="17:35" u="1"/>
        <s v="17:30" u="1"/>
        <s v="17:25" u="1"/>
        <m u="1"/>
        <s v="08:00" u="1"/>
        <s v="11:05" u="1"/>
        <s v="12:30" u="1"/>
        <s v="08:25" u="1"/>
        <s v="12:55" u="1"/>
        <s v="17:15" u="1"/>
        <s v="18:40" u="1"/>
        <s v="05:40" u="1"/>
        <s v="13:05" u="1"/>
        <s v="14:30" u="1"/>
        <s v="14:55" u="1"/>
        <s v="19:15" u="1"/>
        <s v="06:15" u="1"/>
        <s v="07:40" u="1"/>
        <s v="15:05" u="1"/>
        <s v="16:30" u="1"/>
        <s v="12:20" u="1"/>
        <s v="16:55" u="1"/>
        <s v="08:15" u="1"/>
        <s v="12:45" u="1"/>
        <s v="17:05" u="1"/>
        <s v="05:30" u="1"/>
        <s v="14:20" u="1"/>
        <s v="18:55" u="1"/>
        <s v="05:55" u="1"/>
        <s v="14:45" u="1"/>
        <s v="19:05" u="1"/>
        <s v="06:05" u="1"/>
        <s v="07:30" u="1"/>
        <s v="16:20" u="1"/>
        <s v="20:50" u="1"/>
        <s v="12:10" u="1"/>
        <s v="07:55" u="1"/>
        <s v="16:45" u="1"/>
        <s v="08:05" u="1"/>
        <s v="09:30" u="1"/>
        <s v="12:35" u="1"/>
        <s v="05:20" u="1"/>
        <s v="14:10" u="1"/>
        <s v="18:45" u="1"/>
        <s v="05:45" u="1"/>
        <s v="14:35" u="1"/>
        <s v="07:20" u="1"/>
        <s v="11:50" u="1"/>
        <s v="16:10" u="1"/>
        <s v="20:40" u="1"/>
        <s v="12:00" u="1"/>
        <s v="07:45" u="1"/>
        <s v="16:35" u="1"/>
        <s v="09:20" u="1"/>
        <s v="12:25" u="1"/>
        <s v="13:50" u="1"/>
        <s v="05:10" u="1"/>
        <s v="14:00" u="1"/>
        <s v="05:35" u="1"/>
        <s v="14:25" u="1"/>
        <s v="15:50" u="1"/>
        <s v="07:10" u="1"/>
        <s v="11:40" u="1"/>
        <s v="16:00" u="1"/>
        <s v="20:30" u="1"/>
        <s v="07:35" u="1"/>
        <s v="16:25" u="1"/>
        <s v="04:50" u="1"/>
        <s v="09:10" u="1"/>
        <s v="12:15" u="1"/>
        <s v="13:40" u="1"/>
        <s v="05:00" u="1"/>
        <s v="19:50" u="1"/>
        <s v="05:25" u="1"/>
        <s v="06:50" u="1"/>
        <s v="14:15" u="1"/>
        <s v="15:40" u="1"/>
        <s v="07:00" u="1"/>
        <s v="11:30" u="1"/>
        <s v="20:20" u="1"/>
        <s v="07:25" u="1"/>
        <s v="08:50" u="1"/>
        <s v="11:55" u="1"/>
        <s v="16:15" u="1"/>
        <s v="20:45" u="1"/>
        <s v="09:00" u="1"/>
        <s v="12:05" u="1"/>
        <s v="13:30" u="1"/>
        <s v="09:25" u="1"/>
        <s v="13:55" u="1"/>
        <s v="19:40" u="1"/>
        <s v="05:15" u="1"/>
        <s v="06:40" u="1"/>
        <s v="14:05" u="1"/>
        <s v="15:30" u="1"/>
        <s v="11:20" u="1"/>
        <s v="20:10" u="1"/>
        <s v="15:55" u="1"/>
        <s v="07:15" u="1"/>
        <s v="08:40" u="1"/>
        <s v="11:45" u="1"/>
        <s v="16:05" u="1"/>
        <s v="20:35" u="1"/>
        <s v="13:20" u="1"/>
        <s v="04:55" u="1"/>
        <s v="09:15" u="1"/>
        <s v="13:45" u="1"/>
        <s v="19:30" u="1"/>
        <s v="05:05" u="1"/>
        <s v="06:30" u="1"/>
        <s v="15:20" u="1"/>
        <s v="11:10" u="1"/>
        <s v="19:55" u="1"/>
        <s v="20:00" u="1"/>
        <s v="06:55" u="1"/>
        <s v="15:45" u="1"/>
        <s v="07:05" u="1"/>
        <s v="08:30" u="1"/>
        <s v="11:35" u="1"/>
        <s v="17:20" u="1"/>
        <s v="20:25" u="1"/>
        <s v="13:10" u="1"/>
        <s v="08:55" u="1"/>
        <s v="09:05" u="1"/>
        <s v="13:35" u="1"/>
        <s v="19:20" u="1"/>
        <s v="06:20" u="1"/>
        <s v="15:10" u="1"/>
        <s v="11:00" u="1"/>
        <s v="19:45" u="1"/>
        <s v="06:45" u="1"/>
        <s v="15:35" u="1"/>
        <s v="08:20" u="1"/>
        <s v="11:25" u="1"/>
        <s v="12:50" u="1"/>
        <s v="17:10" u="1"/>
        <s v="20:15" u="1"/>
        <s v="13:00" u="1"/>
        <s v="08:45" u="1"/>
        <s v="13:25" u="1"/>
        <s v="14:50" u="1"/>
        <s v="19:10" u="1"/>
        <s v="06:10" u="1"/>
        <s v="15:00" u="1"/>
        <s v="19:35" u="1"/>
        <s v="06:35" u="1"/>
        <s v="15:25" u="1"/>
        <s v="16:50" u="1"/>
        <s v="08:10" u="1"/>
        <s v="11:15" u="1"/>
        <s v="12:40" u="1"/>
        <s v="17:00" u="1"/>
        <s v="20:05" u="1"/>
        <s v="08:35" u="1"/>
        <s v="18:50" u="1"/>
        <s v="05:50" u="1"/>
        <s v="13:15" u="1"/>
        <s v="14:40" u="1"/>
        <s v="19:00" u="1"/>
        <s v="06:00" u="1"/>
        <s v="19:25" u="1"/>
        <s v="06:25" u="1"/>
        <s v="07:50" u="1"/>
        <s v="15:15" u="1"/>
        <s v="16:4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5579.46114965278" createdVersion="6" refreshedVersion="8" minRefreshableVersion="3" recordCount="533" xr:uid="{DCCC3836-6199-4130-9587-CF0F5E4B4688}">
  <cacheSource type="worksheet">
    <worksheetSource name="tbl5day"/>
  </cacheSource>
  <cacheFields count="4">
    <cacheField name="MONITORDATE" numFmtId="22">
      <sharedItems containsSemiMixedTypes="0" containsNonDate="0" containsDate="1" containsString="0" minDate="2024-10-09T05:40:00" maxDate="2024-10-14T11:00:01"/>
    </cacheField>
    <cacheField name="ActivityDate" numFmtId="167">
      <sharedItems containsSemiMixedTypes="0" containsNonDate="0" containsDate="1" containsString="0" minDate="2019-09-10T00:00:00" maxDate="2024-10-15T00:00:00" count="761">
        <d v="2024-10-09T00:00:00"/>
        <d v="2024-10-10T00:00:00"/>
        <d v="2024-10-11T00:00:00"/>
        <d v="2024-10-12T00:00:00"/>
        <d v="2024-10-14T00:00:00"/>
        <d v="2019-09-29T00:00:00" u="1"/>
        <d v="2020-09-29T00:00:00" u="1"/>
        <d v="2019-10-25T00:00:00" u="1"/>
        <d v="2021-09-29T00:00:00" u="1"/>
        <d v="2020-10-25T00:00:00" u="1"/>
        <d v="2019-11-21T00:00:00" u="1"/>
        <d v="2020-11-21T00:00:00" u="1"/>
        <d v="2019-12-17T00:00:00" u="1"/>
        <d v="2020-12-17T00:00:00" u="1"/>
        <d v="2019-10-27T00:00:00" u="1"/>
        <d v="2020-10-27T00:00:00" u="1"/>
        <d v="2019-11-23T00:00:00" u="1"/>
        <d v="2020-11-23T00:00:00" u="1"/>
        <d v="2019-12-19T00:00:00" u="1"/>
        <d v="2020-12-19T00:00:00" u="1"/>
        <d v="2019-10-29T00:00:00" u="1"/>
        <d v="2020-10-29T00:00:00" u="1"/>
        <d v="2019-11-25T00:00:00" u="1"/>
        <d v="2020-11-25T00:00:00" u="1"/>
        <d v="2019-12-21T00:00:00" u="1"/>
        <d v="2020-12-21T00:00:00" u="1"/>
        <d v="2020-01-02T00:00:00" u="1"/>
        <d v="2021-01-02T00:00:00" u="1"/>
        <d v="2019-10-31T00:00:00" u="1"/>
        <d v="2020-10-31T00:00:00" u="1"/>
        <d v="2019-11-27T00:00:00" u="1"/>
        <d v="2020-11-27T00:00:00" u="1"/>
        <d v="2019-12-23T00:00:00" u="1"/>
        <d v="2020-12-23T00:00:00" u="1"/>
        <d v="2020-01-04T00:00:00" u="1"/>
        <d v="2021-01-04T00:00:00" u="1"/>
        <d v="2019-11-29T00:00:00" u="1"/>
        <d v="2020-11-29T00:00:00" u="1"/>
        <d v="2019-12-25T00:00:00" u="1"/>
        <d v="2020-12-25T00:00:00" u="1"/>
        <d v="2020-01-06T00:00:00" u="1"/>
        <d v="2021-01-06T00:00:00" u="1"/>
        <d v="2020-02-02T00:00:00" u="1"/>
        <d v="2021-02-02T00:00:00" u="1"/>
        <d v="2019-12-27T00:00:00" u="1"/>
        <d v="2020-12-27T00:00:00" u="1"/>
        <d v="2020-01-08T00:00:00" u="1"/>
        <d v="2021-01-08T00:00:00" u="1"/>
        <d v="2020-02-04T00:00:00" u="1"/>
        <d v="2021-02-04T00:00:00" u="1"/>
        <d v="2019-12-29T00:00:00" u="1"/>
        <d v="2020-12-29T00:00:00" u="1"/>
        <d v="2020-01-10T00:00:00" u="1"/>
        <d v="2021-01-10T00:00:00" u="1"/>
        <d v="2020-02-06T00:00:00" u="1"/>
        <d v="2021-02-06T00:00:00" u="1"/>
        <d v="2020-03-02T00:00:00" u="1"/>
        <d v="2021-03-02T00:00:00" u="1"/>
        <d v="2019-12-31T00:00:00" u="1"/>
        <d v="2020-12-31T00:00:00" u="1"/>
        <d v="2020-01-12T00:00:00" u="1"/>
        <d v="2021-01-12T00:00:00" u="1"/>
        <d v="2020-02-08T00:00:00" u="1"/>
        <d v="2021-02-08T00:00:00" u="1"/>
        <d v="2020-03-04T00:00:00" u="1"/>
        <d v="2021-03-04T00:00:00" u="1"/>
        <d v="2020-01-14T00:00:00" u="1"/>
        <d v="2021-01-14T00:00:00" u="1"/>
        <d v="2020-02-10T00:00:00" u="1"/>
        <d v="2021-02-10T00:00:00" u="1"/>
        <d v="2020-03-06T00:00:00" u="1"/>
        <d v="2021-03-06T00:00:00" u="1"/>
        <d v="2020-04-02T00:00:00" u="1"/>
        <d v="2021-04-02T00:00:00" u="1"/>
        <d v="2020-01-16T00:00:00" u="1"/>
        <d v="2021-01-16T00:00:00" u="1"/>
        <d v="2020-02-12T00:00:00" u="1"/>
        <d v="2021-02-12T00:00:00" u="1"/>
        <d v="2020-03-08T00:00:00" u="1"/>
        <d v="2021-03-08T00:00:00" u="1"/>
        <d v="2020-04-04T00:00:00" u="1"/>
        <d v="2021-04-04T00:00:00" u="1"/>
        <d v="2020-01-18T00:00:00" u="1"/>
        <d v="2021-01-18T00:00:00" u="1"/>
        <d v="2020-02-14T00:00:00" u="1"/>
        <d v="2021-02-14T00:00:00" u="1"/>
        <d v="2020-03-10T00:00:00" u="1"/>
        <d v="2021-03-10T00:00:00" u="1"/>
        <d v="2020-04-06T00:00:00" u="1"/>
        <d v="2021-04-06T00:00:00" u="1"/>
        <d v="2020-05-02T00:00:00" u="1"/>
        <d v="2021-05-02T00:00:00" u="1"/>
        <d v="2020-01-20T00:00:00" u="1"/>
        <d v="2021-01-20T00:00:00" u="1"/>
        <d v="2020-02-16T00:00:00" u="1"/>
        <d v="2021-02-16T00:00:00" u="1"/>
        <d v="2020-03-12T00:00:00" u="1"/>
        <d v="2021-03-12T00:00:00" u="1"/>
        <d v="2020-04-08T00:00:00" u="1"/>
        <d v="2021-04-08T00:00:00" u="1"/>
        <d v="2020-05-04T00:00:00" u="1"/>
        <d v="2021-05-04T00:00:00" u="1"/>
        <d v="2020-01-22T00:00:00" u="1"/>
        <d v="2021-01-22T00:00:00" u="1"/>
        <d v="2020-02-18T00:00:00" u="1"/>
        <d v="2021-02-18T00:00:00" u="1"/>
        <d v="2020-03-14T00:00:00" u="1"/>
        <d v="2021-03-14T00:00:00" u="1"/>
        <d v="2020-04-10T00:00:00" u="1"/>
        <d v="2021-04-10T00:00:00" u="1"/>
        <d v="2020-05-06T00:00:00" u="1"/>
        <d v="2021-05-06T00:00:00" u="1"/>
        <d v="2020-06-02T00:00:00" u="1"/>
        <d v="2021-06-02T00:00:00" u="1"/>
        <d v="2020-01-24T00:00:00" u="1"/>
        <d v="2021-01-24T00:00:00" u="1"/>
        <d v="2020-02-20T00:00:00" u="1"/>
        <d v="2021-02-20T00:00:00" u="1"/>
        <d v="2020-03-16T00:00:00" u="1"/>
        <d v="2021-03-16T00:00:00" u="1"/>
        <d v="2020-04-12T00:00:00" u="1"/>
        <d v="2021-04-12T00:00:00" u="1"/>
        <d v="2020-05-08T00:00:00" u="1"/>
        <d v="2021-05-08T00:00:00" u="1"/>
        <d v="2020-06-04T00:00:00" u="1"/>
        <d v="2021-06-04T00:00:00" u="1"/>
        <d v="2020-01-26T00:00:00" u="1"/>
        <d v="2021-01-26T00:00:00" u="1"/>
        <d v="2020-02-22T00:00:00" u="1"/>
        <d v="2021-02-22T00:00:00" u="1"/>
        <d v="2020-03-18T00:00:00" u="1"/>
        <d v="2021-03-18T00:00:00" u="1"/>
        <d v="2020-04-14T00:00:00" u="1"/>
        <d v="2021-04-14T00:00:00" u="1"/>
        <d v="2020-05-10T00:00:00" u="1"/>
        <d v="2021-05-10T00:00:00" u="1"/>
        <d v="2020-06-06T00:00:00" u="1"/>
        <d v="2021-06-06T00:00:00" u="1"/>
        <d v="2020-07-02T00:00:00" u="1"/>
        <d v="2021-07-02T00:00:00" u="1"/>
        <d v="2020-01-28T00:00:00" u="1"/>
        <d v="2021-01-28T00:00:00" u="1"/>
        <d v="2020-02-24T00:00:00" u="1"/>
        <d v="2021-02-24T00:00:00" u="1"/>
        <d v="2020-03-20T00:00:00" u="1"/>
        <d v="2021-03-20T00:00:00" u="1"/>
        <d v="2020-04-16T00:00:00" u="1"/>
        <d v="2021-04-16T00:00:00" u="1"/>
        <d v="2020-05-12T00:00:00" u="1"/>
        <d v="2021-05-12T00:00:00" u="1"/>
        <d v="2020-06-08T00:00:00" u="1"/>
        <d v="2021-06-08T00:00:00" u="1"/>
        <d v="2020-07-04T00:00:00" u="1"/>
        <d v="2021-07-04T00:00:00" u="1"/>
        <d v="2020-01-30T00:00:00" u="1"/>
        <d v="2021-01-30T00:00:00" u="1"/>
        <d v="2020-02-26T00:00:00" u="1"/>
        <d v="2021-02-26T00:00:00" u="1"/>
        <d v="2020-03-22T00:00:00" u="1"/>
        <d v="2021-03-22T00:00:00" u="1"/>
        <d v="2020-04-18T00:00:00" u="1"/>
        <d v="2021-04-18T00:00:00" u="1"/>
        <d v="2020-05-14T00:00:00" u="1"/>
        <d v="2021-05-14T00:00:00" u="1"/>
        <d v="2020-06-10T00:00:00" u="1"/>
        <d v="2021-06-10T00:00:00" u="1"/>
        <d v="2020-07-06T00:00:00" u="1"/>
        <d v="2021-07-06T00:00:00" u="1"/>
        <d v="2020-08-02T00:00:00" u="1"/>
        <d v="2021-08-02T00:00:00" u="1"/>
        <d v="2020-02-28T00:00:00" u="1"/>
        <d v="2021-02-28T00:00:00" u="1"/>
        <d v="2020-03-24T00:00:00" u="1"/>
        <d v="2021-03-24T00:00:00" u="1"/>
        <d v="2020-04-20T00:00:00" u="1"/>
        <d v="2021-04-20T00:00:00" u="1"/>
        <d v="2020-05-16T00:00:00" u="1"/>
        <d v="2021-05-16T00:00:00" u="1"/>
        <d v="2020-06-12T00:00:00" u="1"/>
        <d v="2021-06-12T00:00:00" u="1"/>
        <d v="2020-07-08T00:00:00" u="1"/>
        <d v="2021-07-08T00:00:00" u="1"/>
        <d v="2020-08-04T00:00:00" u="1"/>
        <d v="2021-08-04T00:00:00" u="1"/>
        <d v="2020-03-26T00:00:00" u="1"/>
        <d v="2021-03-26T00:00:00" u="1"/>
        <d v="2020-04-22T00:00:00" u="1"/>
        <d v="2021-04-22T00:00:00" u="1"/>
        <d v="2020-05-18T00:00:00" u="1"/>
        <d v="2021-05-18T00:00:00" u="1"/>
        <d v="2020-06-14T00:00:00" u="1"/>
        <d v="2021-06-14T00:00:00" u="1"/>
        <d v="2020-07-10T00:00:00" u="1"/>
        <d v="2021-07-10T00:00:00" u="1"/>
        <d v="2020-08-06T00:00:00" u="1"/>
        <d v="2021-08-06T00:00:00" u="1"/>
        <d v="2020-09-02T00:00:00" u="1"/>
        <d v="2021-09-02T00:00:00" u="1"/>
        <d v="2020-03-28T00:00:00" u="1"/>
        <d v="2021-03-28T00:00:00" u="1"/>
        <d v="2020-04-24T00:00:00" u="1"/>
        <d v="2021-04-24T00:00:00" u="1"/>
        <d v="2020-05-20T00:00:00" u="1"/>
        <d v="2021-05-20T00:00:00" u="1"/>
        <d v="2020-06-16T00:00:00" u="1"/>
        <d v="2021-06-16T00:00:00" u="1"/>
        <d v="2020-07-12T00:00:00" u="1"/>
        <d v="2021-07-12T00:00:00" u="1"/>
        <d v="2020-08-08T00:00:00" u="1"/>
        <d v="2021-08-08T00:00:00" u="1"/>
        <d v="2020-09-04T00:00:00" u="1"/>
        <d v="2021-09-04T00:00:00" u="1"/>
        <d v="2020-03-30T00:00:00" u="1"/>
        <d v="2021-03-30T00:00:00" u="1"/>
        <d v="2020-04-26T00:00:00" u="1"/>
        <d v="2021-04-26T00:00:00" u="1"/>
        <d v="2020-05-22T00:00:00" u="1"/>
        <d v="2021-05-22T00:00:00" u="1"/>
        <d v="2020-06-18T00:00:00" u="1"/>
        <d v="2021-06-18T00:00:00" u="1"/>
        <d v="2020-07-14T00:00:00" u="1"/>
        <d v="2021-07-14T00:00:00" u="1"/>
        <d v="2020-08-10T00:00:00" u="1"/>
        <d v="2021-08-10T00:00:00" u="1"/>
        <d v="2020-09-06T00:00:00" u="1"/>
        <d v="2019-10-02T00:00:00" u="1"/>
        <d v="2021-09-06T00:00:00" u="1"/>
        <d v="2020-10-02T00:00:00" u="1"/>
        <d v="2021-10-02T00:00:00" u="1"/>
        <d v="2020-04-28T00:00:00" u="1"/>
        <d v="2021-04-28T00:00:00" u="1"/>
        <d v="2020-05-24T00:00:00" u="1"/>
        <d v="2021-05-24T00:00:00" u="1"/>
        <d v="2020-06-20T00:00:00" u="1"/>
        <d v="2021-06-20T00:00:00" u="1"/>
        <d v="2020-07-16T00:00:00" u="1"/>
        <d v="2021-07-16T00:00:00" u="1"/>
        <d v="2020-08-12T00:00:00" u="1"/>
        <d v="2021-08-12T00:00:00" u="1"/>
        <d v="2020-09-08T00:00:00" u="1"/>
        <d v="2019-10-04T00:00:00" u="1"/>
        <d v="2021-09-08T00:00:00" u="1"/>
        <d v="2020-10-04T00:00:00" u="1"/>
        <d v="2021-10-04T00:00:00" u="1"/>
        <d v="2020-04-30T00:00:00" u="1"/>
        <d v="2021-04-30T00:00:00" u="1"/>
        <d v="2020-05-26T00:00:00" u="1"/>
        <d v="2021-05-26T00:00:00" u="1"/>
        <d v="2020-06-22T00:00:00" u="1"/>
        <d v="2021-06-22T00:00:00" u="1"/>
        <d v="2020-07-18T00:00:00" u="1"/>
        <d v="2021-07-18T00:00:00" u="1"/>
        <d v="2020-08-14T00:00:00" u="1"/>
        <d v="2019-09-10T00:00:00" u="1"/>
        <d v="2021-08-14T00:00:00" u="1"/>
        <d v="2020-09-10T00:00:00" u="1"/>
        <d v="2019-10-06T00:00:00" u="1"/>
        <d v="2021-09-10T00:00:00" u="1"/>
        <d v="2020-10-06T00:00:00" u="1"/>
        <d v="2019-11-02T00:00:00" u="1"/>
        <d v="2020-11-02T00:00:00" u="1"/>
        <d v="2020-05-28T00:00:00" u="1"/>
        <d v="2021-05-28T00:00:00" u="1"/>
        <d v="2020-06-24T00:00:00" u="1"/>
        <d v="2021-06-24T00:00:00" u="1"/>
        <d v="2020-07-20T00:00:00" u="1"/>
        <d v="2021-07-20T00:00:00" u="1"/>
        <d v="2020-08-16T00:00:00" u="1"/>
        <d v="2019-09-12T00:00:00" u="1"/>
        <d v="2021-08-16T00:00:00" u="1"/>
        <d v="2020-09-12T00:00:00" u="1"/>
        <d v="2019-10-08T00:00:00" u="1"/>
        <d v="2021-09-12T00:00:00" u="1"/>
        <d v="2020-10-08T00:00:00" u="1"/>
        <d v="2019-11-04T00:00:00" u="1"/>
        <d v="2020-11-04T00:00:00" u="1"/>
        <d v="2020-05-30T00:00:00" u="1"/>
        <d v="2021-05-30T00:00:00" u="1"/>
        <d v="2020-06-26T00:00:00" u="1"/>
        <d v="2021-06-26T00:00:00" u="1"/>
        <d v="2020-07-22T00:00:00" u="1"/>
        <d v="2021-07-22T00:00:00" u="1"/>
        <d v="2020-08-18T00:00:00" u="1"/>
        <d v="2019-09-14T00:00:00" u="1"/>
        <d v="2021-08-18T00:00:00" u="1"/>
        <d v="2020-09-14T00:00:00" u="1"/>
        <d v="2019-10-10T00:00:00" u="1"/>
        <d v="2021-09-14T00:00:00" u="1"/>
        <d v="2020-10-10T00:00:00" u="1"/>
        <d v="2019-11-06T00:00:00" u="1"/>
        <d v="2020-11-06T00:00:00" u="1"/>
        <d v="2019-12-02T00:00:00" u="1"/>
        <d v="2020-12-02T00:00:00" u="1"/>
        <d v="2020-06-28T00:00:00" u="1"/>
        <d v="2021-06-28T00:00:00" u="1"/>
        <d v="2020-07-24T00:00:00" u="1"/>
        <d v="2021-07-24T00:00:00" u="1"/>
        <d v="2020-08-20T00:00:00" u="1"/>
        <d v="2019-09-16T00:00:00" u="1"/>
        <d v="2021-08-20T00:00:00" u="1"/>
        <d v="2020-09-16T00:00:00" u="1"/>
        <d v="2019-10-12T00:00:00" u="1"/>
        <d v="2021-09-16T00:00:00" u="1"/>
        <d v="2020-10-12T00:00:00" u="1"/>
        <d v="2019-11-08T00:00:00" u="1"/>
        <d v="2020-11-08T00:00:00" u="1"/>
        <d v="2019-12-04T00:00:00" u="1"/>
        <d v="2020-12-04T00:00:00" u="1"/>
        <d v="2020-06-30T00:00:00" u="1"/>
        <d v="2021-06-30T00:00:00" u="1"/>
        <d v="2020-07-26T00:00:00" u="1"/>
        <d v="2021-07-26T00:00:00" u="1"/>
        <d v="2020-08-22T00:00:00" u="1"/>
        <d v="2019-09-18T00:00:00" u="1"/>
        <d v="2021-08-22T00:00:00" u="1"/>
        <d v="2020-09-18T00:00:00" u="1"/>
        <d v="2019-10-14T00:00:00" u="1"/>
        <d v="2021-09-18T00:00:00" u="1"/>
        <d v="2020-10-14T00:00:00" u="1"/>
        <d v="2019-11-10T00:00:00" u="1"/>
        <d v="2020-11-10T00:00:00" u="1"/>
        <d v="2019-12-06T00:00:00" u="1"/>
        <d v="2020-12-06T00:00:00" u="1"/>
        <d v="2020-07-28T00:00:00" u="1"/>
        <d v="2021-07-28T00:00:00" u="1"/>
        <d v="2020-08-24T00:00:00" u="1"/>
        <d v="2019-09-20T00:00:00" u="1"/>
        <d v="2021-08-24T00:00:00" u="1"/>
        <d v="2020-09-20T00:00:00" u="1"/>
        <d v="2019-10-16T00:00:00" u="1"/>
        <d v="2021-09-20T00:00:00" u="1"/>
        <d v="2020-10-16T00:00:00" u="1"/>
        <d v="2019-11-12T00:00:00" u="1"/>
        <d v="2020-11-12T00:00:00" u="1"/>
        <d v="2019-12-08T00:00:00" u="1"/>
        <d v="2020-12-08T00:00:00" u="1"/>
        <d v="2020-07-30T00:00:00" u="1"/>
        <d v="2021-07-30T00:00:00" u="1"/>
        <d v="2020-08-26T00:00:00" u="1"/>
        <d v="2019-09-22T00:00:00" u="1"/>
        <d v="2021-08-26T00:00:00" u="1"/>
        <d v="2020-09-22T00:00:00" u="1"/>
        <d v="2019-10-18T00:00:00" u="1"/>
        <d v="2021-09-22T00:00:00" u="1"/>
        <d v="2020-10-18T00:00:00" u="1"/>
        <d v="2019-11-14T00:00:00" u="1"/>
        <d v="2020-11-14T00:00:00" u="1"/>
        <d v="2019-12-10T00:00:00" u="1"/>
        <d v="2020-12-10T00:00:00" u="1"/>
        <d v="2020-08-28T00:00:00" u="1"/>
        <d v="2019-09-24T00:00:00" u="1"/>
        <d v="2021-08-28T00:00:00" u="1"/>
        <d v="2020-09-24T00:00:00" u="1"/>
        <d v="2019-10-20T00:00:00" u="1"/>
        <d v="2021-09-24T00:00:00" u="1"/>
        <d v="2020-10-20T00:00:00" u="1"/>
        <d v="2019-11-16T00:00:00" u="1"/>
        <d v="2020-11-16T00:00:00" u="1"/>
        <d v="2019-12-12T00:00:00" u="1"/>
        <d v="2020-12-12T00:00:00" u="1"/>
        <d v="2020-08-30T00:00:00" u="1"/>
        <d v="2019-09-26T00:00:00" u="1"/>
        <d v="2021-08-30T00:00:00" u="1"/>
        <d v="2020-09-26T00:00:00" u="1"/>
        <d v="2019-10-22T00:00:00" u="1"/>
        <d v="2021-09-26T00:00:00" u="1"/>
        <d v="2020-10-22T00:00:00" u="1"/>
        <d v="2019-11-18T00:00:00" u="1"/>
        <d v="2020-11-18T00:00:00" u="1"/>
        <d v="2019-12-14T00:00:00" u="1"/>
        <d v="2020-12-14T00:00:00" u="1"/>
        <d v="2019-09-28T00:00:00" u="1"/>
        <d v="2020-09-28T00:00:00" u="1"/>
        <d v="2019-10-24T00:00:00" u="1"/>
        <d v="2021-09-28T00:00:00" u="1"/>
        <d v="2020-10-24T00:00:00" u="1"/>
        <d v="2019-11-20T00:00:00" u="1"/>
        <d v="2020-11-20T00:00:00" u="1"/>
        <d v="2019-12-16T00:00:00" u="1"/>
        <d v="2020-12-16T00:00:00" u="1"/>
        <d v="2019-09-30T00:00:00" u="1"/>
        <d v="2020-09-30T00:00:00" u="1"/>
        <d v="2019-10-26T00:00:00" u="1"/>
        <d v="2021-09-30T00:00:00" u="1"/>
        <d v="2020-10-26T00:00:00" u="1"/>
        <d v="2019-11-22T00:00:00" u="1"/>
        <d v="2020-11-22T00:00:00" u="1"/>
        <d v="2019-12-18T00:00:00" u="1"/>
        <d v="2020-12-18T00:00:00" u="1"/>
        <d v="2019-10-28T00:00:00" u="1"/>
        <d v="2020-10-28T00:00:00" u="1"/>
        <d v="2019-11-24T00:00:00" u="1"/>
        <d v="2020-11-24T00:00:00" u="1"/>
        <d v="2019-12-20T00:00:00" u="1"/>
        <d v="2020-12-20T00:00:00" u="1"/>
        <d v="2020-01-01T00:00:00" u="1"/>
        <d v="2021-01-01T00:00:00" u="1"/>
        <d v="2019-10-30T00:00:00" u="1"/>
        <d v="2020-10-30T00:00:00" u="1"/>
        <d v="2019-11-26T00:00:00" u="1"/>
        <d v="2020-11-26T00:00:00" u="1"/>
        <d v="2019-12-22T00:00:00" u="1"/>
        <d v="2020-12-22T00:00:00" u="1"/>
        <d v="2020-01-03T00:00:00" u="1"/>
        <d v="2021-01-03T00:00:00" u="1"/>
        <d v="2019-11-28T00:00:00" u="1"/>
        <d v="2020-11-28T00:00:00" u="1"/>
        <d v="2019-12-24T00:00:00" u="1"/>
        <d v="2020-12-24T00:00:00" u="1"/>
        <d v="2020-01-05T00:00:00" u="1"/>
        <d v="2021-01-05T00:00:00" u="1"/>
        <d v="2020-02-01T00:00:00" u="1"/>
        <d v="2021-02-01T00:00:00" u="1"/>
        <d v="2019-11-30T00:00:00" u="1"/>
        <d v="2020-11-30T00:00:00" u="1"/>
        <d v="2019-12-26T00:00:00" u="1"/>
        <d v="2020-12-26T00:00:00" u="1"/>
        <d v="2020-01-07T00:00:00" u="1"/>
        <d v="2021-01-07T00:00:00" u="1"/>
        <d v="2020-02-03T00:00:00" u="1"/>
        <d v="2021-02-03T00:00:00" u="1"/>
        <d v="2019-12-28T00:00:00" u="1"/>
        <d v="2020-12-28T00:00:00" u="1"/>
        <d v="2020-01-09T00:00:00" u="1"/>
        <d v="2021-01-09T00:00:00" u="1"/>
        <d v="2020-02-05T00:00:00" u="1"/>
        <d v="2021-02-05T00:00:00" u="1"/>
        <d v="2020-03-01T00:00:00" u="1"/>
        <d v="2021-03-01T00:00:00" u="1"/>
        <d v="2019-12-30T00:00:00" u="1"/>
        <d v="2020-12-30T00:00:00" u="1"/>
        <d v="2020-01-11T00:00:00" u="1"/>
        <d v="2021-01-11T00:00:00" u="1"/>
        <d v="2020-02-07T00:00:00" u="1"/>
        <d v="2021-02-07T00:00:00" u="1"/>
        <d v="2020-03-03T00:00:00" u="1"/>
        <d v="2021-03-03T00:00:00" u="1"/>
        <d v="2020-01-13T00:00:00" u="1"/>
        <d v="2021-01-13T00:00:00" u="1"/>
        <d v="2020-02-09T00:00:00" u="1"/>
        <d v="2021-02-09T00:00:00" u="1"/>
        <d v="2020-03-05T00:00:00" u="1"/>
        <d v="2021-03-05T00:00:00" u="1"/>
        <d v="2020-04-01T00:00:00" u="1"/>
        <d v="2021-04-01T00:00:00" u="1"/>
        <d v="2020-01-15T00:00:00" u="1"/>
        <d v="2021-01-15T00:00:00" u="1"/>
        <d v="2020-02-11T00:00:00" u="1"/>
        <d v="2021-02-11T00:00:00" u="1"/>
        <d v="2020-03-07T00:00:00" u="1"/>
        <d v="2021-03-07T00:00:00" u="1"/>
        <d v="2020-04-03T00:00:00" u="1"/>
        <d v="2021-04-03T00:00:00" u="1"/>
        <d v="2020-01-17T00:00:00" u="1"/>
        <d v="2021-01-17T00:00:00" u="1"/>
        <d v="2020-02-13T00:00:00" u="1"/>
        <d v="2021-02-13T00:00:00" u="1"/>
        <d v="2020-03-09T00:00:00" u="1"/>
        <d v="2021-03-09T00:00:00" u="1"/>
        <d v="2020-04-05T00:00:00" u="1"/>
        <d v="2021-04-05T00:00:00" u="1"/>
        <d v="2020-05-01T00:00:00" u="1"/>
        <d v="2021-05-01T00:00:00" u="1"/>
        <d v="2020-01-19T00:00:00" u="1"/>
        <d v="2021-01-19T00:00:00" u="1"/>
        <d v="2020-02-15T00:00:00" u="1"/>
        <d v="2021-02-15T00:00:00" u="1"/>
        <d v="2020-03-11T00:00:00" u="1"/>
        <d v="2021-03-11T00:00:00" u="1"/>
        <d v="2020-04-07T00:00:00" u="1"/>
        <d v="2021-04-07T00:00:00" u="1"/>
        <d v="2020-05-03T00:00:00" u="1"/>
        <d v="2021-05-03T00:00:00" u="1"/>
        <d v="2020-01-21T00:00:00" u="1"/>
        <d v="2021-01-21T00:00:00" u="1"/>
        <d v="2020-02-17T00:00:00" u="1"/>
        <d v="2021-02-17T00:00:00" u="1"/>
        <d v="2020-03-13T00:00:00" u="1"/>
        <d v="2021-03-13T00:00:00" u="1"/>
        <d v="2020-04-09T00:00:00" u="1"/>
        <d v="2021-04-09T00:00:00" u="1"/>
        <d v="2020-05-05T00:00:00" u="1"/>
        <d v="2021-05-05T00:00:00" u="1"/>
        <d v="2020-06-01T00:00:00" u="1"/>
        <d v="2021-06-01T00:00:00" u="1"/>
        <d v="2020-01-23T00:00:00" u="1"/>
        <d v="2021-01-23T00:00:00" u="1"/>
        <d v="2020-02-19T00:00:00" u="1"/>
        <d v="2021-02-19T00:00:00" u="1"/>
        <d v="2020-03-15T00:00:00" u="1"/>
        <d v="2021-03-15T00:00:00" u="1"/>
        <d v="2020-04-11T00:00:00" u="1"/>
        <d v="2021-04-11T00:00:00" u="1"/>
        <d v="2020-05-07T00:00:00" u="1"/>
        <d v="2021-05-07T00:00:00" u="1"/>
        <d v="2020-06-03T00:00:00" u="1"/>
        <d v="2021-06-03T00:00:00" u="1"/>
        <d v="2020-01-25T00:00:00" u="1"/>
        <d v="2021-01-25T00:00:00" u="1"/>
        <d v="2020-02-21T00:00:00" u="1"/>
        <d v="2021-02-21T00:00:00" u="1"/>
        <d v="2020-03-17T00:00:00" u="1"/>
        <d v="2021-03-17T00:00:00" u="1"/>
        <d v="2020-04-13T00:00:00" u="1"/>
        <d v="2021-04-13T00:00:00" u="1"/>
        <d v="2020-05-09T00:00:00" u="1"/>
        <d v="2021-05-09T00:00:00" u="1"/>
        <d v="2020-06-05T00:00:00" u="1"/>
        <d v="2021-06-05T00:00:00" u="1"/>
        <d v="2020-07-01T00:00:00" u="1"/>
        <d v="2021-07-01T00:00:00" u="1"/>
        <d v="2020-01-27T00:00:00" u="1"/>
        <d v="2021-01-27T00:00:00" u="1"/>
        <d v="2020-02-23T00:00:00" u="1"/>
        <d v="2021-02-23T00:00:00" u="1"/>
        <d v="2020-03-19T00:00:00" u="1"/>
        <d v="2021-03-19T00:00:00" u="1"/>
        <d v="2020-04-15T00:00:00" u="1"/>
        <d v="2021-04-15T00:00:00" u="1"/>
        <d v="2020-05-11T00:00:00" u="1"/>
        <d v="2021-05-11T00:00:00" u="1"/>
        <d v="2020-06-07T00:00:00" u="1"/>
        <d v="2021-06-07T00:00:00" u="1"/>
        <d v="2020-07-03T00:00:00" u="1"/>
        <d v="2021-07-03T00:00:00" u="1"/>
        <d v="2020-01-29T00:00:00" u="1"/>
        <d v="2021-01-29T00:00:00" u="1"/>
        <d v="2020-02-25T00:00:00" u="1"/>
        <d v="2021-02-25T00:00:00" u="1"/>
        <d v="2020-03-21T00:00:00" u="1"/>
        <d v="2021-03-21T00:00:00" u="1"/>
        <d v="2020-04-17T00:00:00" u="1"/>
        <d v="2021-04-17T00:00:00" u="1"/>
        <d v="2020-05-13T00:00:00" u="1"/>
        <d v="2021-05-13T00:00:00" u="1"/>
        <d v="2020-06-09T00:00:00" u="1"/>
        <d v="2021-06-09T00:00:00" u="1"/>
        <d v="2020-07-05T00:00:00" u="1"/>
        <d v="2021-07-05T00:00:00" u="1"/>
        <d v="2020-08-01T00:00:00" u="1"/>
        <d v="2021-08-01T00:00:00" u="1"/>
        <d v="2020-01-31T00:00:00" u="1"/>
        <d v="2021-01-31T00:00:00" u="1"/>
        <d v="2020-02-27T00:00:00" u="1"/>
        <d v="2021-02-27T00:00:00" u="1"/>
        <d v="2020-03-23T00:00:00" u="1"/>
        <d v="2021-03-23T00:00:00" u="1"/>
        <d v="2020-04-19T00:00:00" u="1"/>
        <d v="2021-04-19T00:00:00" u="1"/>
        <d v="2020-05-15T00:00:00" u="1"/>
        <d v="2021-05-15T00:00:00" u="1"/>
        <d v="2020-06-11T00:00:00" u="1"/>
        <d v="2021-06-11T00:00:00" u="1"/>
        <d v="2020-07-07T00:00:00" u="1"/>
        <d v="2021-07-07T00:00:00" u="1"/>
        <d v="2020-08-03T00:00:00" u="1"/>
        <d v="2021-08-03T00:00:00" u="1"/>
        <d v="2020-02-29T00:00:00" u="1"/>
        <d v="2020-03-25T00:00:00" u="1"/>
        <d v="2021-03-25T00:00:00" u="1"/>
        <d v="2020-04-21T00:00:00" u="1"/>
        <d v="2021-04-21T00:00:00" u="1"/>
        <d v="2020-05-17T00:00:00" u="1"/>
        <d v="2021-05-17T00:00:00" u="1"/>
        <d v="2020-06-13T00:00:00" u="1"/>
        <d v="2021-06-13T00:00:00" u="1"/>
        <d v="2020-07-09T00:00:00" u="1"/>
        <d v="2021-07-09T00:00:00" u="1"/>
        <d v="2020-08-05T00:00:00" u="1"/>
        <d v="2021-08-05T00:00:00" u="1"/>
        <d v="2020-09-01T00:00:00" u="1"/>
        <d v="2021-09-01T00:00:00" u="1"/>
        <d v="2020-03-27T00:00:00" u="1"/>
        <d v="2021-03-27T00:00:00" u="1"/>
        <d v="2020-04-23T00:00:00" u="1"/>
        <d v="2021-04-23T00:00:00" u="1"/>
        <d v="2020-05-19T00:00:00" u="1"/>
        <d v="2021-05-19T00:00:00" u="1"/>
        <d v="2020-06-15T00:00:00" u="1"/>
        <d v="2021-06-15T00:00:00" u="1"/>
        <d v="2020-07-11T00:00:00" u="1"/>
        <d v="2021-07-11T00:00:00" u="1"/>
        <d v="2020-08-07T00:00:00" u="1"/>
        <d v="2021-08-07T00:00:00" u="1"/>
        <d v="2020-09-03T00:00:00" u="1"/>
        <d v="2021-09-03T00:00:00" u="1"/>
        <d v="2020-03-29T00:00:00" u="1"/>
        <d v="2021-03-29T00:00:00" u="1"/>
        <d v="2020-04-25T00:00:00" u="1"/>
        <d v="2021-04-25T00:00:00" u="1"/>
        <d v="2020-05-21T00:00:00" u="1"/>
        <d v="2021-05-21T00:00:00" u="1"/>
        <d v="2020-06-17T00:00:00" u="1"/>
        <d v="2021-06-17T00:00:00" u="1"/>
        <d v="2020-07-13T00:00:00" u="1"/>
        <d v="2021-07-13T00:00:00" u="1"/>
        <d v="2020-08-09T00:00:00" u="1"/>
        <d v="2021-08-09T00:00:00" u="1"/>
        <d v="2020-09-05T00:00:00" u="1"/>
        <d v="2019-10-01T00:00:00" u="1"/>
        <d v="2021-09-05T00:00:00" u="1"/>
        <d v="2020-10-01T00:00:00" u="1"/>
        <d v="2021-10-01T00:00:00" u="1"/>
        <d v="2020-03-31T00:00:00" u="1"/>
        <d v="2021-03-31T00:00:00" u="1"/>
        <d v="2020-04-27T00:00:00" u="1"/>
        <d v="2021-04-27T00:00:00" u="1"/>
        <d v="2020-05-23T00:00:00" u="1"/>
        <d v="2021-05-23T00:00:00" u="1"/>
        <d v="2020-06-19T00:00:00" u="1"/>
        <d v="2021-06-19T00:00:00" u="1"/>
        <d v="2020-07-15T00:00:00" u="1"/>
        <d v="2021-07-15T00:00:00" u="1"/>
        <d v="2020-08-11T00:00:00" u="1"/>
        <d v="2021-08-11T00:00:00" u="1"/>
        <d v="2020-09-07T00:00:00" u="1"/>
        <d v="2019-10-03T00:00:00" u="1"/>
        <d v="2021-09-07T00:00:00" u="1"/>
        <d v="2020-10-03T00:00:00" u="1"/>
        <d v="2021-10-03T00:00:00" u="1"/>
        <d v="2020-04-29T00:00:00" u="1"/>
        <d v="2021-04-29T00:00:00" u="1"/>
        <d v="2020-05-25T00:00:00" u="1"/>
        <d v="2021-05-25T00:00:00" u="1"/>
        <d v="2020-06-21T00:00:00" u="1"/>
        <d v="2021-06-21T00:00:00" u="1"/>
        <d v="2020-07-17T00:00:00" u="1"/>
        <d v="2021-07-17T00:00:00" u="1"/>
        <d v="2020-08-13T00:00:00" u="1"/>
        <d v="2021-08-13T00:00:00" u="1"/>
        <d v="2020-09-09T00:00:00" u="1"/>
        <d v="2019-10-05T00:00:00" u="1"/>
        <d v="2021-09-09T00:00:00" u="1"/>
        <d v="2020-10-05T00:00:00" u="1"/>
        <d v="2019-11-01T00:00:00" u="1"/>
        <d v="2020-11-01T00:00:00" u="1"/>
        <d v="2020-05-27T00:00:00" u="1"/>
        <d v="2021-05-27T00:00:00" u="1"/>
        <d v="2020-06-23T00:00:00" u="1"/>
        <d v="2021-06-23T00:00:00" u="1"/>
        <d v="2020-07-19T00:00:00" u="1"/>
        <d v="2021-07-19T00:00:00" u="1"/>
        <d v="2020-08-15T00:00:00" u="1"/>
        <d v="2019-09-11T00:00:00" u="1"/>
        <d v="2021-08-15T00:00:00" u="1"/>
        <d v="2020-09-11T00:00:00" u="1"/>
        <d v="2019-10-07T00:00:00" u="1"/>
        <d v="2021-09-11T00:00:00" u="1"/>
        <d v="2020-10-07T00:00:00" u="1"/>
        <d v="2019-11-03T00:00:00" u="1"/>
        <d v="2020-11-03T00:00:00" u="1"/>
        <d v="2020-05-29T00:00:00" u="1"/>
        <d v="2021-05-29T00:00:00" u="1"/>
        <d v="2020-06-25T00:00:00" u="1"/>
        <d v="2021-06-25T00:00:00" u="1"/>
        <d v="2020-07-21T00:00:00" u="1"/>
        <d v="2021-07-21T00:00:00" u="1"/>
        <d v="2020-08-17T00:00:00" u="1"/>
        <d v="2019-09-13T00:00:00" u="1"/>
        <d v="2021-08-17T00:00:00" u="1"/>
        <d v="2020-09-13T00:00:00" u="1"/>
        <d v="2019-10-09T00:00:00" u="1"/>
        <d v="2021-09-13T00:00:00" u="1"/>
        <d v="2020-10-09T00:00:00" u="1"/>
        <d v="2019-11-05T00:00:00" u="1"/>
        <d v="2020-11-05T00:00:00" u="1"/>
        <d v="2019-12-01T00:00:00" u="1"/>
        <d v="2020-12-01T00:00:00" u="1"/>
        <d v="2020-05-31T00:00:00" u="1"/>
        <d v="2021-05-31T00:00:00" u="1"/>
        <d v="2020-06-27T00:00:00" u="1"/>
        <d v="2021-06-27T00:00:00" u="1"/>
        <d v="2020-07-23T00:00:00" u="1"/>
        <d v="2021-07-23T00:00:00" u="1"/>
        <d v="2020-08-19T00:00:00" u="1"/>
        <d v="2019-09-15T00:00:00" u="1"/>
        <d v="2021-08-19T00:00:00" u="1"/>
        <d v="2020-09-15T00:00:00" u="1"/>
        <d v="2019-10-11T00:00:00" u="1"/>
        <d v="2021-09-15T00:00:00" u="1"/>
        <d v="2020-10-11T00:00:00" u="1"/>
        <d v="2019-11-07T00:00:00" u="1"/>
        <d v="2020-11-07T00:00:00" u="1"/>
        <d v="2019-12-03T00:00:00" u="1"/>
        <d v="2020-12-03T00:00:00" u="1"/>
        <d v="2020-06-29T00:00:00" u="1"/>
        <d v="2021-06-29T00:00:00" u="1"/>
        <d v="2020-07-25T00:00:00" u="1"/>
        <d v="2021-07-25T00:00:00" u="1"/>
        <d v="2020-08-21T00:00:00" u="1"/>
        <d v="2019-09-17T00:00:00" u="1"/>
        <d v="2021-08-21T00:00:00" u="1"/>
        <d v="2020-09-17T00:00:00" u="1"/>
        <d v="2019-10-13T00:00:00" u="1"/>
        <d v="2021-09-17T00:00:00" u="1"/>
        <d v="2020-10-13T00:00:00" u="1"/>
        <d v="2019-11-09T00:00:00" u="1"/>
        <d v="2020-11-09T00:00:00" u="1"/>
        <d v="2019-12-05T00:00:00" u="1"/>
        <d v="2020-12-05T00:00:00" u="1"/>
        <d v="2020-07-27T00:00:00" u="1"/>
        <d v="2021-07-27T00:00:00" u="1"/>
        <d v="2020-08-23T00:00:00" u="1"/>
        <d v="2019-09-19T00:00:00" u="1"/>
        <d v="2021-08-23T00:00:00" u="1"/>
        <d v="2020-09-19T00:00:00" u="1"/>
        <d v="2019-10-15T00:00:00" u="1"/>
        <d v="2021-09-19T00:00:00" u="1"/>
        <d v="2020-10-15T00:00:00" u="1"/>
        <d v="2019-11-11T00:00:00" u="1"/>
        <d v="2020-11-11T00:00:00" u="1"/>
        <d v="2019-12-07T00:00:00" u="1"/>
        <d v="2020-12-07T00:00:00" u="1"/>
        <d v="2020-07-29T00:00:00" u="1"/>
        <d v="2021-07-29T00:00:00" u="1"/>
        <d v="2020-08-25T00:00:00" u="1"/>
        <d v="2019-09-21T00:00:00" u="1"/>
        <d v="2021-08-25T00:00:00" u="1"/>
        <d v="2020-09-21T00:00:00" u="1"/>
        <d v="2019-10-17T00:00:00" u="1"/>
        <d v="2021-09-21T00:00:00" u="1"/>
        <d v="2020-10-17T00:00:00" u="1"/>
        <d v="2019-11-13T00:00:00" u="1"/>
        <d v="2020-11-13T00:00:00" u="1"/>
        <d v="2019-12-09T00:00:00" u="1"/>
        <d v="2020-12-09T00:00:00" u="1"/>
        <d v="2020-07-31T00:00:00" u="1"/>
        <d v="2021-07-31T00:00:00" u="1"/>
        <d v="2020-08-27T00:00:00" u="1"/>
        <d v="2019-09-23T00:00:00" u="1"/>
        <d v="2021-08-27T00:00:00" u="1"/>
        <d v="2020-09-23T00:00:00" u="1"/>
        <d v="2019-10-19T00:00:00" u="1"/>
        <d v="2021-09-23T00:00:00" u="1"/>
        <d v="2020-10-19T00:00:00" u="1"/>
        <d v="2019-11-15T00:00:00" u="1"/>
        <d v="2020-11-15T00:00:00" u="1"/>
        <d v="2019-12-11T00:00:00" u="1"/>
        <d v="2020-12-11T00:00:00" u="1"/>
        <d v="2020-08-29T00:00:00" u="1"/>
        <d v="2019-09-25T00:00:00" u="1"/>
        <d v="2021-08-29T00:00:00" u="1"/>
        <d v="2020-09-25T00:00:00" u="1"/>
        <d v="2019-10-21T00:00:00" u="1"/>
        <d v="2021-09-25T00:00:00" u="1"/>
        <d v="2020-10-21T00:00:00" u="1"/>
        <d v="2019-11-17T00:00:00" u="1"/>
        <d v="2020-11-17T00:00:00" u="1"/>
        <d v="2019-12-13T00:00:00" u="1"/>
        <d v="2020-12-13T00:00:00" u="1"/>
        <d v="2020-08-31T00:00:00" u="1"/>
        <d v="2019-09-27T00:00:00" u="1"/>
        <d v="2021-08-31T00:00:00" u="1"/>
        <d v="2020-09-27T00:00:00" u="1"/>
        <d v="2019-10-23T00:00:00" u="1"/>
        <d v="2021-09-27T00:00:00" u="1"/>
        <d v="2020-10-23T00:00:00" u="1"/>
        <d v="2019-11-19T00:00:00" u="1"/>
        <d v="2020-11-19T00:00:00" u="1"/>
        <d v="2019-12-15T00:00:00" u="1"/>
        <d v="2020-12-15T00:00:00" u="1"/>
      </sharedItems>
    </cacheField>
    <cacheField name="ActivityHour" numFmtId="0">
      <sharedItems containsBlank="1" count="25">
        <s v="05"/>
        <s v="06"/>
        <s v="07"/>
        <s v="08"/>
        <s v="09"/>
        <s v="10"/>
        <s v="11"/>
        <s v="12"/>
        <s v="13"/>
        <s v="14"/>
        <s v="15"/>
        <s v="16"/>
        <s v="17"/>
        <s v="18"/>
        <s v="19"/>
        <s v="20"/>
        <s v="21"/>
        <s v="22"/>
        <s v="23"/>
        <s v="00"/>
        <s v="01"/>
        <s v="02"/>
        <s v="03"/>
        <s v="04"/>
        <m u="1"/>
      </sharedItems>
    </cacheField>
    <cacheField name="ACTIVITY"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4">
  <r>
    <s v="Fabrikam, Inc."/>
    <x v="0"/>
    <n v="3"/>
    <s v="2024-10-14"/>
    <s v="10:58"/>
    <s v="The Administrator Settings window was successfully opened."/>
    <s v="10:55:00.0000000"/>
    <s v="Window was successfully opened"/>
    <n v="131"/>
    <d v="1899-12-31T10:58:56"/>
    <x v="0"/>
  </r>
  <r>
    <s v="Fabrikam, Inc."/>
    <x v="1"/>
    <n v="3"/>
    <s v="2024-10-14"/>
    <s v="10:57"/>
    <s v="The Sales Transaction Entry window was successfully opened."/>
    <s v="10:55:00.0000000"/>
    <s v="Window was successfully opened"/>
    <n v="131"/>
    <d v="1899-12-31T10:57:56"/>
    <x v="0"/>
  </r>
  <r>
    <s v="Fabrikam, Inc."/>
    <x v="2"/>
    <n v="3"/>
    <s v="2024-10-14"/>
    <s v="10:57"/>
    <s v="The Purchase Order Entry window was successfully opened."/>
    <s v="10:55:00.0000000"/>
    <s v="Window was successfully opened"/>
    <n v="131"/>
    <d v="1899-12-31T10:57:22"/>
    <x v="0"/>
  </r>
  <r>
    <s v="Fabrikam, Inc."/>
    <x v="0"/>
    <n v="3"/>
    <s v="2024-10-14"/>
    <s v="10:57"/>
    <s v="The Batch Entry window was successfully opened."/>
    <s v="10:55:00.0000000"/>
    <s v="Window was successfully opened"/>
    <n v="131"/>
    <d v="1899-12-31T10:57:44"/>
    <x v="0"/>
  </r>
  <r>
    <s v="Fabrikam, Inc."/>
    <x v="0"/>
    <n v="3"/>
    <s v="2024-10-14"/>
    <s v="10:57"/>
    <s v="The Clearing Entry window was successfully opened."/>
    <s v="10:55:00.0000000"/>
    <s v="Window was successfully opened"/>
    <n v="131"/>
    <d v="1899-12-31T10:57:46"/>
    <x v="0"/>
  </r>
  <r>
    <s v="Fabrikam, Inc."/>
    <x v="0"/>
    <n v="3"/>
    <s v="2024-10-14"/>
    <s v="10:57"/>
    <s v="The Master Posting window was successfully opened."/>
    <s v="10:55:00.0000000"/>
    <s v="Window was successfully opened"/>
    <n v="131"/>
    <d v="1899-12-31T10:57:37"/>
    <x v="0"/>
  </r>
  <r>
    <s v="Fabrikam, Inc."/>
    <x v="2"/>
    <n v="2"/>
    <s v="2024-10-14"/>
    <s v="10:56"/>
    <s v="Successful Attempts to Log In"/>
    <s v="10:55:00.0000000"/>
    <s v="Successful attempt to log in"/>
    <n v="131"/>
    <d v="1899-12-31T10:56:15"/>
    <x v="0"/>
  </r>
  <r>
    <s v="Fabrikam, Inc."/>
    <x v="1"/>
    <n v="2"/>
    <s v="2024-10-14"/>
    <s v="10:55"/>
    <s v="Successful Attempts to Log In"/>
    <s v="10:55:00.0000000"/>
    <s v="Successful attempt to log in"/>
    <n v="131"/>
    <d v="1899-12-31T10:55:57"/>
    <x v="0"/>
  </r>
  <r>
    <s v="Fabrikam, Inc."/>
    <x v="0"/>
    <n v="2"/>
    <s v="2024-10-14"/>
    <s v="10:55"/>
    <s v="Successful Attempts to Log In"/>
    <s v="10:55:00.0000000"/>
    <s v="Successful attempt to log in"/>
    <n v="131"/>
    <d v="1899-12-31T10:55:19"/>
    <x v="0"/>
  </r>
  <r>
    <s v=""/>
    <x v="3"/>
    <n v="0"/>
    <s v="2024-10-14"/>
    <s v="10:50"/>
    <s v=""/>
    <s v="10:50:00.0000000"/>
    <s v=""/>
    <n v="130"/>
    <d v="1899-12-31T10:50:00"/>
    <x v="1"/>
  </r>
  <r>
    <s v=""/>
    <x v="3"/>
    <n v="0"/>
    <s v="2024-10-14"/>
    <s v="10:45"/>
    <s v=""/>
    <s v="10:45:00.0000000"/>
    <s v=""/>
    <n v="129"/>
    <d v="1899-12-31T10:45:00"/>
    <x v="2"/>
  </r>
  <r>
    <s v=""/>
    <x v="3"/>
    <n v="0"/>
    <s v="2024-10-14"/>
    <s v="10:40"/>
    <s v=""/>
    <s v="10:40:00.0000000"/>
    <s v=""/>
    <n v="128"/>
    <d v="1899-12-31T10:40:00"/>
    <x v="3"/>
  </r>
  <r>
    <s v=""/>
    <x v="3"/>
    <n v="0"/>
    <s v="2024-10-14"/>
    <s v="10:35"/>
    <s v=""/>
    <s v="10:35:00.0000000"/>
    <s v=""/>
    <n v="127"/>
    <d v="1899-12-31T10:35:00"/>
    <x v="4"/>
  </r>
  <r>
    <s v=""/>
    <x v="3"/>
    <n v="0"/>
    <s v="2024-10-14"/>
    <s v="10:30"/>
    <s v=""/>
    <s v="10:30:00.0000000"/>
    <s v=""/>
    <n v="126"/>
    <d v="1899-12-31T10:30:00"/>
    <x v="5"/>
  </r>
  <r>
    <s v=""/>
    <x v="3"/>
    <n v="0"/>
    <s v="2024-10-14"/>
    <s v="10:25"/>
    <s v=""/>
    <s v="10:25:00.0000000"/>
    <s v=""/>
    <n v="125"/>
    <d v="1899-12-31T10:25:00"/>
    <x v="6"/>
  </r>
  <r>
    <s v=""/>
    <x v="3"/>
    <n v="0"/>
    <s v="2024-10-14"/>
    <s v="10:20"/>
    <s v=""/>
    <s v="10:20:00.0000000"/>
    <s v=""/>
    <n v="124"/>
    <d v="1899-12-31T10:20:00"/>
    <x v="7"/>
  </r>
  <r>
    <s v="Fabrikam, Inc."/>
    <x v="2"/>
    <n v="3"/>
    <s v="2024-10-14"/>
    <s v="10:18"/>
    <s v="The Payables Batch Entry window was successfully opened."/>
    <s v="10:15:00.0000000"/>
    <s v="Window was successfully opened"/>
    <n v="123"/>
    <d v="1899-12-31T10:18:21"/>
    <x v="8"/>
  </r>
  <r>
    <s v="Fabrikam, Inc."/>
    <x v="2"/>
    <n v="3"/>
    <s v="2024-10-14"/>
    <s v="10:18"/>
    <s v="The Purchasing Series Posting window was successfully opened."/>
    <s v="10:15:00.0000000"/>
    <s v="Window was successfully opened"/>
    <n v="123"/>
    <d v="1899-12-31T10:18:03"/>
    <x v="8"/>
  </r>
  <r>
    <s v="Fabrikam, Inc."/>
    <x v="1"/>
    <n v="3"/>
    <s v="2024-10-14"/>
    <s v="10:17"/>
    <s v="The Batch IDs window was successfully opened."/>
    <s v="10:15:00.0000000"/>
    <s v="Window was successfully opened"/>
    <n v="123"/>
    <d v="1899-12-31T10:17:48"/>
    <x v="8"/>
  </r>
  <r>
    <s v="Fabrikam, Inc."/>
    <x v="1"/>
    <n v="3"/>
    <s v="2024-10-14"/>
    <s v="10:17"/>
    <s v="The Print Sales Documents window was successfully opened."/>
    <s v="10:15:00.0000000"/>
    <s v="Window was successfully opened"/>
    <n v="123"/>
    <d v="1899-12-31T10:17:40"/>
    <x v="8"/>
  </r>
  <r>
    <s v="Fabrikam, Inc."/>
    <x v="1"/>
    <n v="3"/>
    <s v="2024-10-14"/>
    <s v="10:17"/>
    <s v="The Sales Batch Entry window was successfully opened."/>
    <s v="10:15:00.0000000"/>
    <s v="Window was successfully opened"/>
    <n v="123"/>
    <d v="1899-12-31T10:17:44"/>
    <x v="8"/>
  </r>
  <r>
    <s v="Fabrikam, Inc."/>
    <x v="1"/>
    <n v="3"/>
    <s v="2024-10-14"/>
    <s v="10:17"/>
    <s v="The User Preferences window was successfully opened."/>
    <s v="10:15:00.0000000"/>
    <s v="Window was successfully opened"/>
    <n v="123"/>
    <d v="1899-12-31T10:17:03"/>
    <x v="8"/>
  </r>
  <r>
    <s v="Fabrikam, Inc."/>
    <x v="2"/>
    <n v="2"/>
    <s v="2024-10-14"/>
    <s v="10:17"/>
    <s v="Successful Attempts to Log In"/>
    <s v="10:15:00.0000000"/>
    <s v="Successful attempt to log in"/>
    <n v="123"/>
    <d v="1899-12-31T10:17:09"/>
    <x v="8"/>
  </r>
  <r>
    <s v="Fabrikam, Inc."/>
    <x v="1"/>
    <n v="1"/>
    <s v="2024-10-14"/>
    <s v="10:16"/>
    <s v="Failed login attempt - the user was logged in already."/>
    <s v="10:15:00.0000000"/>
    <s v="Max users logged in -or- User logged in already"/>
    <n v="123"/>
    <d v="1899-12-31T10:16:35"/>
    <x v="8"/>
  </r>
  <r>
    <s v="Fabrikam, Inc."/>
    <x v="1"/>
    <n v="2"/>
    <s v="2024-10-14"/>
    <s v="10:16"/>
    <s v="Successful Attempts to Log In"/>
    <s v="10:15:00.0000000"/>
    <s v="Successful attempt to log in"/>
    <n v="123"/>
    <d v="1899-12-31T10:16:32"/>
    <x v="8"/>
  </r>
  <r>
    <s v="Fabrikam, Inc."/>
    <x v="1"/>
    <n v="3"/>
    <s v="2024-10-14"/>
    <s v="10:15"/>
    <s v="The Sales Batch Entry window was successfully opened."/>
    <s v="10:15:00.0000000"/>
    <s v="Window was successfully opened"/>
    <n v="123"/>
    <d v="1899-12-31T10:15:22"/>
    <x v="8"/>
  </r>
  <r>
    <s v="Fabrikam, Inc."/>
    <x v="1"/>
    <n v="15"/>
    <s v="2024-10-14"/>
    <s v="10:15"/>
    <s v="Successful Attempts to Log Out"/>
    <s v="10:15:00.0000000"/>
    <s v="Successful attempt to log out"/>
    <n v="123"/>
    <d v="1899-12-31T10:15:29"/>
    <x v="8"/>
  </r>
  <r>
    <s v="Fabrikam, Inc."/>
    <x v="1"/>
    <n v="3"/>
    <s v="2024-10-14"/>
    <s v="10:14"/>
    <s v="The Sales Transaction Entry window was successfully opened."/>
    <s v="10:10:00.0000000"/>
    <s v="Window was successfully opened"/>
    <n v="122"/>
    <d v="1899-12-31T10:14:47"/>
    <x v="9"/>
  </r>
  <r>
    <s v=""/>
    <x v="3"/>
    <n v="0"/>
    <s v="2024-10-14"/>
    <s v="10:05"/>
    <s v=""/>
    <s v="10:05:00.0000000"/>
    <s v=""/>
    <n v="121"/>
    <d v="1899-12-31T10:05:00"/>
    <x v="10"/>
  </r>
  <r>
    <s v="Fabrikam, Inc."/>
    <x v="1"/>
    <n v="2"/>
    <s v="2024-10-14"/>
    <s v="10:03"/>
    <s v="Successful Attempts to Log In"/>
    <s v="10:00:00.0000000"/>
    <s v="Successful attempt to log in"/>
    <n v="120"/>
    <d v="1899-12-31T10:03:55"/>
    <x v="11"/>
  </r>
  <r>
    <s v="Fabrikam, Inc."/>
    <x v="1"/>
    <n v="15"/>
    <s v="2024-10-14"/>
    <s v="10:02"/>
    <s v="Successful Attempts to Log Out"/>
    <s v="10:00:00.0000000"/>
    <s v="Successful attempt to log out"/>
    <n v="120"/>
    <d v="1899-12-31T10:02:51"/>
    <x v="11"/>
  </r>
  <r>
    <s v="Fabrikam, Inc."/>
    <x v="2"/>
    <n v="2"/>
    <s v="2024-10-14"/>
    <s v="10:02"/>
    <s v="Successful Attempts to Log In"/>
    <s v="10:00:00.0000000"/>
    <s v="Successful attempt to log in"/>
    <n v="120"/>
    <d v="1899-12-31T10:02:30"/>
    <x v="11"/>
  </r>
  <r>
    <s v="Fabrikam, Inc."/>
    <x v="2"/>
    <n v="3"/>
    <s v="2024-10-14"/>
    <s v="10:02"/>
    <s v="The Purchase Order Entry window was successfully opened."/>
    <s v="10:00:00.0000000"/>
    <s v="Window was successfully opened"/>
    <n v="120"/>
    <d v="1899-12-31T10:02:16"/>
    <x v="11"/>
  </r>
  <r>
    <s v="Fabrikam, Inc."/>
    <x v="2"/>
    <n v="15"/>
    <s v="2024-10-14"/>
    <s v="10:02"/>
    <s v="Successful Attempts to Log Out"/>
    <s v="10:00:00.0000000"/>
    <s v="Successful attempt to log out"/>
    <n v="120"/>
    <d v="1899-12-31T10:02:28"/>
    <x v="11"/>
  </r>
  <r>
    <s v="Fabrikam, Inc."/>
    <x v="2"/>
    <n v="15"/>
    <s v="2024-10-14"/>
    <s v="10:02"/>
    <s v="Successful Attempts to Log Out"/>
    <s v="10:00:00.0000000"/>
    <s v="Successful attempt to log out"/>
    <n v="120"/>
    <d v="1899-12-31T10:02:55"/>
    <x v="11"/>
  </r>
  <r>
    <s v="Fabrikam, Inc."/>
    <x v="1"/>
    <n v="3"/>
    <s v="2024-10-14"/>
    <s v="09:59"/>
    <s v="The Sales Transaction Entry window was successfully opened."/>
    <s v="09:55:00.0000000"/>
    <s v="Window was successfully opened"/>
    <n v="119"/>
    <d v="1899-12-31T09:59:22"/>
    <x v="12"/>
  </r>
  <r>
    <s v="Fabrikam, Inc."/>
    <x v="0"/>
    <n v="3"/>
    <s v="2024-10-14"/>
    <s v="09:59"/>
    <s v="The Administrator Settings window was successfully opened."/>
    <s v="09:55:00.0000000"/>
    <s v="Window was successfully opened"/>
    <n v="119"/>
    <d v="1899-12-31T09:59:45"/>
    <x v="12"/>
  </r>
  <r>
    <s v="Fabrikam, Inc."/>
    <x v="2"/>
    <n v="2"/>
    <s v="2024-10-14"/>
    <s v="09:51"/>
    <s v="Successful Attempts to Log In"/>
    <s v="09:50:00.0000000"/>
    <s v="Successful attempt to log in"/>
    <n v="118"/>
    <d v="1899-12-31T09:51:26"/>
    <x v="13"/>
  </r>
  <r>
    <s v="Fabrikam, Inc."/>
    <x v="1"/>
    <n v="2"/>
    <s v="2024-10-14"/>
    <s v="09:50"/>
    <s v="Successful Attempts to Log In"/>
    <s v="09:50:00.0000000"/>
    <s v="Successful attempt to log in"/>
    <n v="118"/>
    <d v="1899-12-31T09:50:57"/>
    <x v="13"/>
  </r>
  <r>
    <s v="Fabrikam, Inc."/>
    <x v="0"/>
    <n v="1"/>
    <s v="2024-10-14"/>
    <s v="09:50"/>
    <s v="Failed login attempt - the user was logged in already."/>
    <s v="09:50:00.0000000"/>
    <s v="Max users logged in -or- User logged in already"/>
    <n v="118"/>
    <d v="1899-12-31T09:50:00"/>
    <x v="13"/>
  </r>
  <r>
    <s v="Fabrikam, Inc."/>
    <x v="0"/>
    <n v="3"/>
    <s v="2024-10-14"/>
    <s v="09:49"/>
    <s v="The User Setup window was successfully opened."/>
    <s v="09:45:00.0000000"/>
    <s v="Window was successfully opened"/>
    <n v="117"/>
    <d v="1899-12-31T09:49:23"/>
    <x v="14"/>
  </r>
  <r>
    <s v="Fabrikam, Inc."/>
    <x v="0"/>
    <n v="3"/>
    <s v="2024-10-14"/>
    <s v="09:49"/>
    <s v="The Users window was successfully opened."/>
    <s v="09:45:00.0000000"/>
    <s v="Window was successfully opened"/>
    <n v="117"/>
    <d v="1899-12-31T09:49:34"/>
    <x v="14"/>
  </r>
  <r>
    <s v=""/>
    <x v="3"/>
    <n v="0"/>
    <s v="2024-10-14"/>
    <s v="09:40"/>
    <s v=""/>
    <s v="09:40:00.0000000"/>
    <s v=""/>
    <n v="116"/>
    <d v="1899-12-31T09:40:00"/>
    <x v="15"/>
  </r>
  <r>
    <s v="Fabrikam, Inc."/>
    <x v="0"/>
    <n v="2"/>
    <s v="2024-10-14"/>
    <s v="09:35"/>
    <s v="Successful Attempts to Log In"/>
    <s v="09:35:00.0000000"/>
    <s v="Successful attempt to log in"/>
    <n v="115"/>
    <d v="1899-12-31T09:35:57"/>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3">
  <r>
    <d v="2024-10-09T05:40:00"/>
    <x v="0"/>
    <x v="0"/>
    <n v="0"/>
  </r>
  <r>
    <d v="2024-10-09T05:50:00"/>
    <x v="0"/>
    <x v="0"/>
    <n v="0"/>
  </r>
  <r>
    <d v="2024-10-09T06:00:00"/>
    <x v="0"/>
    <x v="1"/>
    <n v="0"/>
  </r>
  <r>
    <d v="2024-10-09T06:10:00"/>
    <x v="0"/>
    <x v="1"/>
    <n v="0"/>
  </r>
  <r>
    <d v="2024-10-09T06:20:00"/>
    <x v="0"/>
    <x v="1"/>
    <n v="0"/>
  </r>
  <r>
    <d v="2024-10-09T06:30:00"/>
    <x v="0"/>
    <x v="1"/>
    <n v="0"/>
  </r>
  <r>
    <d v="2024-10-09T06:40:00"/>
    <x v="0"/>
    <x v="1"/>
    <n v="0"/>
  </r>
  <r>
    <d v="2024-10-09T06:50:00"/>
    <x v="0"/>
    <x v="1"/>
    <n v="0"/>
  </r>
  <r>
    <d v="2024-10-09T07:00:00"/>
    <x v="0"/>
    <x v="2"/>
    <n v="0"/>
  </r>
  <r>
    <d v="2024-10-09T07:10:00"/>
    <x v="0"/>
    <x v="2"/>
    <n v="0"/>
  </r>
  <r>
    <d v="2024-10-09T07:20:00"/>
    <x v="0"/>
    <x v="2"/>
    <n v="0"/>
  </r>
  <r>
    <d v="2024-10-09T07:30:00"/>
    <x v="0"/>
    <x v="2"/>
    <n v="1"/>
  </r>
  <r>
    <d v="2024-10-09T07:40:00"/>
    <x v="0"/>
    <x v="2"/>
    <n v="1"/>
  </r>
  <r>
    <d v="2024-10-09T07:50:00"/>
    <x v="0"/>
    <x v="2"/>
    <n v="1"/>
  </r>
  <r>
    <d v="2024-10-09T08:00:00"/>
    <x v="0"/>
    <x v="3"/>
    <n v="1"/>
  </r>
  <r>
    <d v="2024-10-09T08:10:00"/>
    <x v="0"/>
    <x v="3"/>
    <n v="1"/>
  </r>
  <r>
    <d v="2024-10-09T08:20:00"/>
    <x v="0"/>
    <x v="3"/>
    <n v="1"/>
  </r>
  <r>
    <d v="2024-10-09T08:30:00"/>
    <x v="0"/>
    <x v="3"/>
    <n v="2"/>
  </r>
  <r>
    <d v="2024-10-09T08:40:00"/>
    <x v="0"/>
    <x v="3"/>
    <n v="2"/>
  </r>
  <r>
    <d v="2024-10-09T08:50:00"/>
    <x v="0"/>
    <x v="3"/>
    <n v="2"/>
  </r>
  <r>
    <d v="2024-10-09T09:00:00"/>
    <x v="0"/>
    <x v="4"/>
    <n v="3"/>
  </r>
  <r>
    <d v="2024-10-09T09:10:00"/>
    <x v="0"/>
    <x v="4"/>
    <n v="3"/>
  </r>
  <r>
    <d v="2024-10-09T09:20:00"/>
    <x v="0"/>
    <x v="4"/>
    <n v="3"/>
  </r>
  <r>
    <d v="2024-10-09T09:30:00"/>
    <x v="0"/>
    <x v="4"/>
    <n v="3"/>
  </r>
  <r>
    <d v="2024-10-09T09:40:00"/>
    <x v="0"/>
    <x v="4"/>
    <n v="4"/>
  </r>
  <r>
    <d v="2024-10-09T09:50:00"/>
    <x v="0"/>
    <x v="4"/>
    <n v="3"/>
  </r>
  <r>
    <d v="2024-10-09T10:00:00"/>
    <x v="0"/>
    <x v="5"/>
    <n v="3"/>
  </r>
  <r>
    <d v="2024-10-09T10:10:00"/>
    <x v="0"/>
    <x v="5"/>
    <n v="3"/>
  </r>
  <r>
    <d v="2024-10-09T10:20:00"/>
    <x v="0"/>
    <x v="5"/>
    <n v="4"/>
  </r>
  <r>
    <d v="2024-10-09T10:30:00"/>
    <x v="0"/>
    <x v="5"/>
    <n v="4"/>
  </r>
  <r>
    <d v="2024-10-09T10:40:00"/>
    <x v="0"/>
    <x v="5"/>
    <n v="4"/>
  </r>
  <r>
    <d v="2024-10-09T10:50:00"/>
    <x v="0"/>
    <x v="5"/>
    <n v="4"/>
  </r>
  <r>
    <d v="2024-10-09T11:00:00"/>
    <x v="0"/>
    <x v="6"/>
    <n v="4"/>
  </r>
  <r>
    <d v="2024-10-09T11:10:00"/>
    <x v="0"/>
    <x v="6"/>
    <n v="5"/>
  </r>
  <r>
    <d v="2024-10-09T11:20:00"/>
    <x v="0"/>
    <x v="6"/>
    <n v="5"/>
  </r>
  <r>
    <d v="2024-10-09T11:30:00"/>
    <x v="0"/>
    <x v="6"/>
    <n v="5"/>
  </r>
  <r>
    <d v="2024-10-09T11:40:00"/>
    <x v="0"/>
    <x v="6"/>
    <n v="5"/>
  </r>
  <r>
    <d v="2024-10-09T11:50:00"/>
    <x v="0"/>
    <x v="6"/>
    <n v="5"/>
  </r>
  <r>
    <d v="2024-10-09T12:00:00"/>
    <x v="0"/>
    <x v="7"/>
    <n v="5"/>
  </r>
  <r>
    <d v="2024-10-09T12:10:00"/>
    <x v="0"/>
    <x v="7"/>
    <n v="5"/>
  </r>
  <r>
    <d v="2024-10-09T12:20:00"/>
    <x v="0"/>
    <x v="7"/>
    <n v="5"/>
  </r>
  <r>
    <d v="2024-10-09T12:30:00"/>
    <x v="0"/>
    <x v="7"/>
    <n v="5"/>
  </r>
  <r>
    <d v="2024-10-09T12:40:00"/>
    <x v="0"/>
    <x v="7"/>
    <n v="4"/>
  </r>
  <r>
    <d v="2024-10-09T12:50:00"/>
    <x v="0"/>
    <x v="7"/>
    <n v="3"/>
  </r>
  <r>
    <d v="2024-10-09T13:00:00"/>
    <x v="0"/>
    <x v="8"/>
    <n v="3"/>
  </r>
  <r>
    <d v="2024-10-09T13:10:00"/>
    <x v="0"/>
    <x v="8"/>
    <n v="2"/>
  </r>
  <r>
    <d v="2024-10-09T13:20:00"/>
    <x v="0"/>
    <x v="8"/>
    <n v="5"/>
  </r>
  <r>
    <d v="2024-10-09T13:30:00"/>
    <x v="0"/>
    <x v="8"/>
    <n v="6"/>
  </r>
  <r>
    <d v="2024-10-09T13:40:00"/>
    <x v="0"/>
    <x v="8"/>
    <n v="6"/>
  </r>
  <r>
    <d v="2024-10-09T13:50:00"/>
    <x v="0"/>
    <x v="8"/>
    <n v="6"/>
  </r>
  <r>
    <d v="2024-10-09T14:00:00"/>
    <x v="0"/>
    <x v="9"/>
    <n v="6"/>
  </r>
  <r>
    <d v="2024-10-09T14:10:00"/>
    <x v="0"/>
    <x v="9"/>
    <n v="6"/>
  </r>
  <r>
    <d v="2024-10-09T14:20:00"/>
    <x v="0"/>
    <x v="9"/>
    <n v="6"/>
  </r>
  <r>
    <d v="2024-10-09T14:30:00"/>
    <x v="0"/>
    <x v="9"/>
    <n v="6"/>
  </r>
  <r>
    <d v="2024-10-09T14:40:00"/>
    <x v="0"/>
    <x v="9"/>
    <n v="6"/>
  </r>
  <r>
    <d v="2024-10-09T14:50:00"/>
    <x v="0"/>
    <x v="9"/>
    <n v="6"/>
  </r>
  <r>
    <d v="2024-10-09T15:00:00"/>
    <x v="0"/>
    <x v="10"/>
    <n v="7"/>
  </r>
  <r>
    <d v="2024-10-09T15:10:00"/>
    <x v="0"/>
    <x v="10"/>
    <n v="7"/>
  </r>
  <r>
    <d v="2024-10-09T15:20:00"/>
    <x v="0"/>
    <x v="10"/>
    <n v="7"/>
  </r>
  <r>
    <d v="2024-10-09T15:30:00"/>
    <x v="0"/>
    <x v="10"/>
    <n v="7"/>
  </r>
  <r>
    <d v="2024-10-09T15:40:00"/>
    <x v="0"/>
    <x v="10"/>
    <n v="7"/>
  </r>
  <r>
    <d v="2024-10-09T15:50:00"/>
    <x v="0"/>
    <x v="10"/>
    <n v="7"/>
  </r>
  <r>
    <d v="2024-10-09T16:00:00"/>
    <x v="0"/>
    <x v="11"/>
    <n v="6"/>
  </r>
  <r>
    <d v="2024-10-09T16:10:00"/>
    <x v="0"/>
    <x v="11"/>
    <n v="6"/>
  </r>
  <r>
    <d v="2024-10-09T16:20:00"/>
    <x v="0"/>
    <x v="11"/>
    <n v="6"/>
  </r>
  <r>
    <d v="2024-10-09T16:30:00"/>
    <x v="0"/>
    <x v="11"/>
    <n v="6"/>
  </r>
  <r>
    <d v="2024-10-09T16:40:00"/>
    <x v="0"/>
    <x v="11"/>
    <n v="6"/>
  </r>
  <r>
    <d v="2024-10-09T16:50:00"/>
    <x v="0"/>
    <x v="11"/>
    <n v="6"/>
  </r>
  <r>
    <d v="2024-10-09T17:00:00"/>
    <x v="0"/>
    <x v="12"/>
    <n v="5"/>
  </r>
  <r>
    <d v="2024-10-09T17:10:00"/>
    <x v="0"/>
    <x v="12"/>
    <n v="5"/>
  </r>
  <r>
    <d v="2024-10-09T17:20:00"/>
    <x v="0"/>
    <x v="12"/>
    <n v="5"/>
  </r>
  <r>
    <d v="2024-10-09T17:30:00"/>
    <x v="0"/>
    <x v="12"/>
    <n v="4"/>
  </r>
  <r>
    <d v="2024-10-09T17:40:00"/>
    <x v="0"/>
    <x v="12"/>
    <n v="4"/>
  </r>
  <r>
    <d v="2024-10-09T17:50:00"/>
    <x v="0"/>
    <x v="12"/>
    <n v="4"/>
  </r>
  <r>
    <d v="2024-10-09T18:00:00"/>
    <x v="0"/>
    <x v="13"/>
    <n v="3"/>
  </r>
  <r>
    <d v="2024-10-09T18:10:00"/>
    <x v="0"/>
    <x v="13"/>
    <n v="3"/>
  </r>
  <r>
    <d v="2024-10-09T18:20:00"/>
    <x v="0"/>
    <x v="13"/>
    <n v="3"/>
  </r>
  <r>
    <d v="2024-10-09T18:30:00"/>
    <x v="0"/>
    <x v="13"/>
    <n v="2"/>
  </r>
  <r>
    <d v="2024-10-09T18:40:00"/>
    <x v="0"/>
    <x v="13"/>
    <n v="2"/>
  </r>
  <r>
    <d v="2024-10-09T18:50:00"/>
    <x v="0"/>
    <x v="13"/>
    <n v="1"/>
  </r>
  <r>
    <d v="2024-10-09T19:00:00"/>
    <x v="0"/>
    <x v="14"/>
    <n v="1"/>
  </r>
  <r>
    <d v="2024-10-09T19:10:00"/>
    <x v="0"/>
    <x v="14"/>
    <n v="1"/>
  </r>
  <r>
    <d v="2024-10-09T19:20:00"/>
    <x v="0"/>
    <x v="14"/>
    <n v="0"/>
  </r>
  <r>
    <d v="2024-10-09T19:30:00"/>
    <x v="0"/>
    <x v="14"/>
    <n v="0"/>
  </r>
  <r>
    <d v="2024-10-09T19:40:00"/>
    <x v="0"/>
    <x v="14"/>
    <n v="0"/>
  </r>
  <r>
    <d v="2024-10-09T19:50:00"/>
    <x v="0"/>
    <x v="14"/>
    <n v="0"/>
  </r>
  <r>
    <d v="2024-10-09T20:00:00"/>
    <x v="0"/>
    <x v="15"/>
    <n v="0"/>
  </r>
  <r>
    <d v="2024-10-09T20:10:00"/>
    <x v="0"/>
    <x v="15"/>
    <n v="0"/>
  </r>
  <r>
    <d v="2024-10-09T20:20:00"/>
    <x v="0"/>
    <x v="15"/>
    <n v="0"/>
  </r>
  <r>
    <d v="2024-10-09T20:30:00"/>
    <x v="0"/>
    <x v="15"/>
    <n v="0"/>
  </r>
  <r>
    <d v="2024-10-09T20:40:00"/>
    <x v="0"/>
    <x v="15"/>
    <n v="0"/>
  </r>
  <r>
    <d v="2024-10-09T20:50:00"/>
    <x v="0"/>
    <x v="15"/>
    <n v="0"/>
  </r>
  <r>
    <d v="2024-10-09T21:00:00"/>
    <x v="0"/>
    <x v="16"/>
    <n v="0"/>
  </r>
  <r>
    <d v="2024-10-09T21:10:00"/>
    <x v="0"/>
    <x v="16"/>
    <n v="0"/>
  </r>
  <r>
    <d v="2024-10-09T21:20:00"/>
    <x v="0"/>
    <x v="16"/>
    <n v="0"/>
  </r>
  <r>
    <d v="2024-10-09T21:30:00"/>
    <x v="0"/>
    <x v="16"/>
    <n v="0"/>
  </r>
  <r>
    <d v="2024-10-09T21:40:00"/>
    <x v="0"/>
    <x v="16"/>
    <n v="0"/>
  </r>
  <r>
    <d v="2024-10-09T21:50:00"/>
    <x v="0"/>
    <x v="16"/>
    <n v="0"/>
  </r>
  <r>
    <d v="2024-10-09T22:00:00"/>
    <x v="0"/>
    <x v="17"/>
    <n v="0"/>
  </r>
  <r>
    <d v="2024-10-09T22:10:00"/>
    <x v="0"/>
    <x v="17"/>
    <n v="0"/>
  </r>
  <r>
    <d v="2024-10-09T22:20:00"/>
    <x v="0"/>
    <x v="17"/>
    <n v="0"/>
  </r>
  <r>
    <d v="2024-10-09T22:30:00"/>
    <x v="0"/>
    <x v="17"/>
    <n v="0"/>
  </r>
  <r>
    <d v="2024-10-09T22:40:00"/>
    <x v="0"/>
    <x v="17"/>
    <n v="0"/>
  </r>
  <r>
    <d v="2024-10-09T22:50:00"/>
    <x v="0"/>
    <x v="17"/>
    <n v="0"/>
  </r>
  <r>
    <d v="2024-10-09T23:00:00"/>
    <x v="0"/>
    <x v="18"/>
    <n v="0"/>
  </r>
  <r>
    <d v="2024-10-09T23:10:00"/>
    <x v="0"/>
    <x v="18"/>
    <n v="0"/>
  </r>
  <r>
    <d v="2024-10-09T23:20:00"/>
    <x v="0"/>
    <x v="18"/>
    <n v="0"/>
  </r>
  <r>
    <d v="2024-10-09T23:30:00"/>
    <x v="0"/>
    <x v="18"/>
    <n v="0"/>
  </r>
  <r>
    <d v="2024-10-09T23:40:00"/>
    <x v="0"/>
    <x v="18"/>
    <n v="0"/>
  </r>
  <r>
    <d v="2024-10-09T23:50:00"/>
    <x v="0"/>
    <x v="18"/>
    <n v="0"/>
  </r>
  <r>
    <d v="2024-10-10T00:00:00"/>
    <x v="1"/>
    <x v="19"/>
    <n v="0"/>
  </r>
  <r>
    <d v="2024-10-10T00:10:00"/>
    <x v="1"/>
    <x v="19"/>
    <n v="0"/>
  </r>
  <r>
    <d v="2024-10-10T00:20:00"/>
    <x v="1"/>
    <x v="19"/>
    <n v="0"/>
  </r>
  <r>
    <d v="2024-10-10T00:30:00"/>
    <x v="1"/>
    <x v="19"/>
    <n v="0"/>
  </r>
  <r>
    <d v="2024-10-10T00:40:00"/>
    <x v="1"/>
    <x v="19"/>
    <n v="0"/>
  </r>
  <r>
    <d v="2024-10-10T00:50:00"/>
    <x v="1"/>
    <x v="19"/>
    <n v="0"/>
  </r>
  <r>
    <d v="2024-10-10T01:00:00"/>
    <x v="1"/>
    <x v="20"/>
    <n v="0"/>
  </r>
  <r>
    <d v="2024-10-10T01:10:00"/>
    <x v="1"/>
    <x v="20"/>
    <n v="0"/>
  </r>
  <r>
    <d v="2024-10-10T01:20:00"/>
    <x v="1"/>
    <x v="20"/>
    <n v="0"/>
  </r>
  <r>
    <d v="2024-10-10T01:30:00"/>
    <x v="1"/>
    <x v="20"/>
    <n v="0"/>
  </r>
  <r>
    <d v="2024-10-10T01:40:00"/>
    <x v="1"/>
    <x v="20"/>
    <n v="0"/>
  </r>
  <r>
    <d v="2024-10-10T01:50:00"/>
    <x v="1"/>
    <x v="20"/>
    <n v="0"/>
  </r>
  <r>
    <d v="2024-10-10T02:00:00"/>
    <x v="1"/>
    <x v="21"/>
    <n v="0"/>
  </r>
  <r>
    <d v="2024-10-10T02:10:00"/>
    <x v="1"/>
    <x v="21"/>
    <n v="0"/>
  </r>
  <r>
    <d v="2024-10-10T02:20:00"/>
    <x v="1"/>
    <x v="21"/>
    <n v="0"/>
  </r>
  <r>
    <d v="2024-10-10T02:30:00"/>
    <x v="1"/>
    <x v="21"/>
    <n v="0"/>
  </r>
  <r>
    <d v="2024-10-10T02:40:00"/>
    <x v="1"/>
    <x v="21"/>
    <n v="0"/>
  </r>
  <r>
    <d v="2024-10-10T02:50:00"/>
    <x v="1"/>
    <x v="21"/>
    <n v="0"/>
  </r>
  <r>
    <d v="2024-10-10T03:00:00"/>
    <x v="1"/>
    <x v="22"/>
    <n v="0"/>
  </r>
  <r>
    <d v="2024-10-10T03:10:00"/>
    <x v="1"/>
    <x v="22"/>
    <n v="0"/>
  </r>
  <r>
    <d v="2024-10-10T03:20:00"/>
    <x v="1"/>
    <x v="22"/>
    <n v="0"/>
  </r>
  <r>
    <d v="2024-10-10T03:30:00"/>
    <x v="1"/>
    <x v="22"/>
    <n v="0"/>
  </r>
  <r>
    <d v="2024-10-10T03:40:00"/>
    <x v="1"/>
    <x v="22"/>
    <n v="0"/>
  </r>
  <r>
    <d v="2024-10-10T03:50:00"/>
    <x v="1"/>
    <x v="22"/>
    <n v="0"/>
  </r>
  <r>
    <d v="2024-10-10T04:00:00"/>
    <x v="1"/>
    <x v="23"/>
    <n v="0"/>
  </r>
  <r>
    <d v="2024-10-10T04:10:00"/>
    <x v="1"/>
    <x v="23"/>
    <n v="0"/>
  </r>
  <r>
    <d v="2024-10-10T04:20:00"/>
    <x v="1"/>
    <x v="23"/>
    <n v="0"/>
  </r>
  <r>
    <d v="2024-10-10T04:30:00"/>
    <x v="1"/>
    <x v="23"/>
    <n v="0"/>
  </r>
  <r>
    <d v="2024-10-10T04:40:00"/>
    <x v="1"/>
    <x v="23"/>
    <n v="0"/>
  </r>
  <r>
    <d v="2024-10-10T04:50:00"/>
    <x v="1"/>
    <x v="23"/>
    <n v="0"/>
  </r>
  <r>
    <d v="2024-10-10T05:00:00"/>
    <x v="1"/>
    <x v="0"/>
    <n v="0"/>
  </r>
  <r>
    <d v="2024-10-10T05:10:00"/>
    <x v="1"/>
    <x v="0"/>
    <n v="0"/>
  </r>
  <r>
    <d v="2024-10-10T05:20:00"/>
    <x v="1"/>
    <x v="0"/>
    <n v="0"/>
  </r>
  <r>
    <d v="2024-10-10T05:30:00"/>
    <x v="1"/>
    <x v="0"/>
    <n v="0"/>
  </r>
  <r>
    <d v="2024-10-10T05:40:00"/>
    <x v="1"/>
    <x v="0"/>
    <n v="0"/>
  </r>
  <r>
    <d v="2024-10-10T05:50:00"/>
    <x v="1"/>
    <x v="0"/>
    <n v="0"/>
  </r>
  <r>
    <d v="2024-10-10T06:00:00"/>
    <x v="1"/>
    <x v="1"/>
    <n v="0"/>
  </r>
  <r>
    <d v="2024-10-10T06:10:00"/>
    <x v="1"/>
    <x v="1"/>
    <n v="0"/>
  </r>
  <r>
    <d v="2024-10-10T06:20:00"/>
    <x v="1"/>
    <x v="1"/>
    <n v="0"/>
  </r>
  <r>
    <d v="2024-10-10T06:30:00"/>
    <x v="1"/>
    <x v="1"/>
    <n v="0"/>
  </r>
  <r>
    <d v="2024-10-10T06:40:00"/>
    <x v="1"/>
    <x v="1"/>
    <n v="0"/>
  </r>
  <r>
    <d v="2024-10-10T06:50:00"/>
    <x v="1"/>
    <x v="1"/>
    <n v="0"/>
  </r>
  <r>
    <d v="2024-10-10T07:00:00"/>
    <x v="1"/>
    <x v="2"/>
    <n v="0"/>
  </r>
  <r>
    <d v="2024-10-10T07:10:00"/>
    <x v="1"/>
    <x v="2"/>
    <n v="0"/>
  </r>
  <r>
    <d v="2024-10-10T07:20:00"/>
    <x v="1"/>
    <x v="2"/>
    <n v="0"/>
  </r>
  <r>
    <d v="2024-10-10T07:30:00"/>
    <x v="1"/>
    <x v="2"/>
    <n v="1"/>
  </r>
  <r>
    <d v="2024-10-10T07:40:00"/>
    <x v="1"/>
    <x v="2"/>
    <n v="1"/>
  </r>
  <r>
    <d v="2024-10-10T07:50:00"/>
    <x v="1"/>
    <x v="2"/>
    <n v="1"/>
  </r>
  <r>
    <d v="2024-10-10T08:00:00"/>
    <x v="1"/>
    <x v="3"/>
    <n v="1"/>
  </r>
  <r>
    <d v="2024-10-10T08:10:00"/>
    <x v="1"/>
    <x v="3"/>
    <n v="1"/>
  </r>
  <r>
    <d v="2024-10-10T08:20:00"/>
    <x v="1"/>
    <x v="3"/>
    <n v="1"/>
  </r>
  <r>
    <d v="2024-10-10T08:30:00"/>
    <x v="1"/>
    <x v="3"/>
    <n v="2"/>
  </r>
  <r>
    <d v="2024-10-10T08:40:00"/>
    <x v="1"/>
    <x v="3"/>
    <n v="2"/>
  </r>
  <r>
    <d v="2024-10-10T08:50:00"/>
    <x v="1"/>
    <x v="3"/>
    <n v="2"/>
  </r>
  <r>
    <d v="2024-10-10T09:00:00"/>
    <x v="1"/>
    <x v="4"/>
    <n v="3"/>
  </r>
  <r>
    <d v="2024-10-10T09:10:00"/>
    <x v="1"/>
    <x v="4"/>
    <n v="3"/>
  </r>
  <r>
    <d v="2024-10-10T09:20:00"/>
    <x v="1"/>
    <x v="4"/>
    <n v="3"/>
  </r>
  <r>
    <d v="2024-10-10T09:30:00"/>
    <x v="1"/>
    <x v="4"/>
    <n v="3"/>
  </r>
  <r>
    <d v="2024-10-10T09:40:00"/>
    <x v="1"/>
    <x v="4"/>
    <n v="4"/>
  </r>
  <r>
    <d v="2024-10-10T09:50:00"/>
    <x v="1"/>
    <x v="4"/>
    <n v="3"/>
  </r>
  <r>
    <d v="2024-10-10T10:00:00"/>
    <x v="1"/>
    <x v="5"/>
    <n v="3"/>
  </r>
  <r>
    <d v="2024-10-10T10:10:00"/>
    <x v="1"/>
    <x v="5"/>
    <n v="3"/>
  </r>
  <r>
    <d v="2024-10-10T10:20:00"/>
    <x v="1"/>
    <x v="5"/>
    <n v="4"/>
  </r>
  <r>
    <d v="2024-10-10T10:30:00"/>
    <x v="1"/>
    <x v="5"/>
    <n v="4"/>
  </r>
  <r>
    <d v="2024-10-10T10:40:00"/>
    <x v="1"/>
    <x v="5"/>
    <n v="4"/>
  </r>
  <r>
    <d v="2024-10-10T10:50:00"/>
    <x v="1"/>
    <x v="5"/>
    <n v="4"/>
  </r>
  <r>
    <d v="2024-10-10T11:00:00"/>
    <x v="1"/>
    <x v="6"/>
    <n v="4"/>
  </r>
  <r>
    <d v="2024-10-10T11:10:00"/>
    <x v="1"/>
    <x v="6"/>
    <n v="5"/>
  </r>
  <r>
    <d v="2024-10-10T11:20:00"/>
    <x v="1"/>
    <x v="6"/>
    <n v="5"/>
  </r>
  <r>
    <d v="2024-10-10T11:30:00"/>
    <x v="1"/>
    <x v="6"/>
    <n v="5"/>
  </r>
  <r>
    <d v="2024-10-10T11:40:00"/>
    <x v="1"/>
    <x v="6"/>
    <n v="5"/>
  </r>
  <r>
    <d v="2024-10-10T11:50:00"/>
    <x v="1"/>
    <x v="6"/>
    <n v="5"/>
  </r>
  <r>
    <d v="2024-10-10T12:00:00"/>
    <x v="1"/>
    <x v="7"/>
    <n v="5"/>
  </r>
  <r>
    <d v="2024-10-10T12:10:00"/>
    <x v="1"/>
    <x v="7"/>
    <n v="5"/>
  </r>
  <r>
    <d v="2024-10-10T12:20:00"/>
    <x v="1"/>
    <x v="7"/>
    <n v="5"/>
  </r>
  <r>
    <d v="2024-10-10T12:30:00"/>
    <x v="1"/>
    <x v="7"/>
    <n v="5"/>
  </r>
  <r>
    <d v="2024-10-10T12:40:00"/>
    <x v="1"/>
    <x v="7"/>
    <n v="4"/>
  </r>
  <r>
    <d v="2024-10-10T12:50:00"/>
    <x v="1"/>
    <x v="7"/>
    <n v="3"/>
  </r>
  <r>
    <d v="2024-10-10T13:00:00"/>
    <x v="1"/>
    <x v="8"/>
    <n v="3"/>
  </r>
  <r>
    <d v="2024-10-10T13:10:00"/>
    <x v="1"/>
    <x v="8"/>
    <n v="2"/>
  </r>
  <r>
    <d v="2024-10-10T13:20:00"/>
    <x v="1"/>
    <x v="8"/>
    <n v="5"/>
  </r>
  <r>
    <d v="2024-10-10T13:30:00"/>
    <x v="1"/>
    <x v="8"/>
    <n v="6"/>
  </r>
  <r>
    <d v="2024-10-10T13:40:00"/>
    <x v="1"/>
    <x v="8"/>
    <n v="6"/>
  </r>
  <r>
    <d v="2024-10-10T13:50:00"/>
    <x v="1"/>
    <x v="8"/>
    <n v="6"/>
  </r>
  <r>
    <d v="2024-10-10T14:00:00"/>
    <x v="1"/>
    <x v="9"/>
    <n v="6"/>
  </r>
  <r>
    <d v="2024-10-10T14:10:00"/>
    <x v="1"/>
    <x v="9"/>
    <n v="6"/>
  </r>
  <r>
    <d v="2024-10-10T14:20:00"/>
    <x v="1"/>
    <x v="9"/>
    <n v="6"/>
  </r>
  <r>
    <d v="2024-10-10T14:30:00"/>
    <x v="1"/>
    <x v="9"/>
    <n v="6"/>
  </r>
  <r>
    <d v="2024-10-10T14:40:00"/>
    <x v="1"/>
    <x v="9"/>
    <n v="6"/>
  </r>
  <r>
    <d v="2024-10-10T14:50:00"/>
    <x v="1"/>
    <x v="9"/>
    <n v="6"/>
  </r>
  <r>
    <d v="2024-10-10T15:00:00"/>
    <x v="1"/>
    <x v="10"/>
    <n v="7"/>
  </r>
  <r>
    <d v="2024-10-10T15:10:00"/>
    <x v="1"/>
    <x v="10"/>
    <n v="7"/>
  </r>
  <r>
    <d v="2024-10-10T15:20:00"/>
    <x v="1"/>
    <x v="10"/>
    <n v="7"/>
  </r>
  <r>
    <d v="2024-10-10T15:30:00"/>
    <x v="1"/>
    <x v="10"/>
    <n v="7"/>
  </r>
  <r>
    <d v="2024-10-10T15:40:00"/>
    <x v="1"/>
    <x v="10"/>
    <n v="7"/>
  </r>
  <r>
    <d v="2024-10-10T15:50:00"/>
    <x v="1"/>
    <x v="10"/>
    <n v="7"/>
  </r>
  <r>
    <d v="2024-10-10T16:00:00"/>
    <x v="1"/>
    <x v="11"/>
    <n v="6"/>
  </r>
  <r>
    <d v="2024-10-10T16:10:00"/>
    <x v="1"/>
    <x v="11"/>
    <n v="6"/>
  </r>
  <r>
    <d v="2024-10-10T16:20:00"/>
    <x v="1"/>
    <x v="11"/>
    <n v="6"/>
  </r>
  <r>
    <d v="2024-10-10T16:30:00"/>
    <x v="1"/>
    <x v="11"/>
    <n v="6"/>
  </r>
  <r>
    <d v="2024-10-10T16:40:00"/>
    <x v="1"/>
    <x v="11"/>
    <n v="6"/>
  </r>
  <r>
    <d v="2024-10-10T16:50:00"/>
    <x v="1"/>
    <x v="11"/>
    <n v="6"/>
  </r>
  <r>
    <d v="2024-10-10T17:00:00"/>
    <x v="1"/>
    <x v="12"/>
    <n v="5"/>
  </r>
  <r>
    <d v="2024-10-10T17:10:00"/>
    <x v="1"/>
    <x v="12"/>
    <n v="5"/>
  </r>
  <r>
    <d v="2024-10-10T17:20:00"/>
    <x v="1"/>
    <x v="12"/>
    <n v="5"/>
  </r>
  <r>
    <d v="2024-10-10T17:30:00"/>
    <x v="1"/>
    <x v="12"/>
    <n v="4"/>
  </r>
  <r>
    <d v="2024-10-10T17:38:03"/>
    <x v="1"/>
    <x v="12"/>
    <n v="1"/>
  </r>
  <r>
    <d v="2024-10-10T17:40:00"/>
    <x v="1"/>
    <x v="12"/>
    <n v="1"/>
  </r>
  <r>
    <d v="2024-10-10T17:50:00"/>
    <x v="1"/>
    <x v="12"/>
    <n v="1"/>
  </r>
  <r>
    <d v="2024-10-10T18:00:00"/>
    <x v="1"/>
    <x v="13"/>
    <n v="1"/>
  </r>
  <r>
    <d v="2024-10-10T18:10:00"/>
    <x v="1"/>
    <x v="13"/>
    <n v="1"/>
  </r>
  <r>
    <d v="2024-10-10T18:20:00"/>
    <x v="1"/>
    <x v="13"/>
    <n v="3"/>
  </r>
  <r>
    <d v="2024-10-10T18:30:00"/>
    <x v="1"/>
    <x v="13"/>
    <n v="2"/>
  </r>
  <r>
    <d v="2024-10-10T18:40:00"/>
    <x v="1"/>
    <x v="13"/>
    <n v="2"/>
  </r>
  <r>
    <d v="2024-10-10T18:50:00"/>
    <x v="1"/>
    <x v="13"/>
    <n v="2"/>
  </r>
  <r>
    <d v="2024-10-10T19:00:00"/>
    <x v="1"/>
    <x v="14"/>
    <n v="2"/>
  </r>
  <r>
    <d v="2024-10-10T19:10:00"/>
    <x v="1"/>
    <x v="14"/>
    <n v="1"/>
  </r>
  <r>
    <d v="2024-10-10T19:20:00"/>
    <x v="1"/>
    <x v="14"/>
    <n v="1"/>
  </r>
  <r>
    <d v="2024-10-10T19:30:00"/>
    <x v="1"/>
    <x v="14"/>
    <n v="1"/>
  </r>
  <r>
    <d v="2024-10-10T19:40:00"/>
    <x v="1"/>
    <x v="14"/>
    <n v="0"/>
  </r>
  <r>
    <d v="2024-10-10T19:50:00"/>
    <x v="1"/>
    <x v="14"/>
    <n v="0"/>
  </r>
  <r>
    <d v="2024-10-10T20:00:00"/>
    <x v="1"/>
    <x v="15"/>
    <n v="0"/>
  </r>
  <r>
    <d v="2024-10-10T20:10:00"/>
    <x v="1"/>
    <x v="15"/>
    <n v="0"/>
  </r>
  <r>
    <d v="2024-10-10T20:20:00"/>
    <x v="1"/>
    <x v="15"/>
    <n v="0"/>
  </r>
  <r>
    <d v="2024-10-10T20:30:00"/>
    <x v="1"/>
    <x v="15"/>
    <n v="0"/>
  </r>
  <r>
    <d v="2024-10-10T20:40:00"/>
    <x v="1"/>
    <x v="15"/>
    <n v="0"/>
  </r>
  <r>
    <d v="2024-10-10T20:50:01"/>
    <x v="1"/>
    <x v="15"/>
    <n v="0"/>
  </r>
  <r>
    <d v="2024-10-10T21:00:01"/>
    <x v="1"/>
    <x v="16"/>
    <n v="0"/>
  </r>
  <r>
    <d v="2024-10-10T21:10:00"/>
    <x v="1"/>
    <x v="16"/>
    <n v="0"/>
  </r>
  <r>
    <d v="2024-10-10T21:20:01"/>
    <x v="1"/>
    <x v="16"/>
    <n v="0"/>
  </r>
  <r>
    <d v="2024-10-10T21:30:01"/>
    <x v="1"/>
    <x v="16"/>
    <n v="0"/>
  </r>
  <r>
    <d v="2024-10-10T21:40:00"/>
    <x v="1"/>
    <x v="16"/>
    <n v="0"/>
  </r>
  <r>
    <d v="2024-10-10T21:50:00"/>
    <x v="1"/>
    <x v="16"/>
    <n v="0"/>
  </r>
  <r>
    <d v="2024-10-10T22:00:00"/>
    <x v="1"/>
    <x v="17"/>
    <n v="0"/>
  </r>
  <r>
    <d v="2024-10-10T22:10:00"/>
    <x v="1"/>
    <x v="17"/>
    <n v="0"/>
  </r>
  <r>
    <d v="2024-10-10T22:20:00"/>
    <x v="1"/>
    <x v="17"/>
    <n v="0"/>
  </r>
  <r>
    <d v="2024-10-10T22:30:00"/>
    <x v="1"/>
    <x v="17"/>
    <n v="0"/>
  </r>
  <r>
    <d v="2024-10-10T22:40:00"/>
    <x v="1"/>
    <x v="17"/>
    <n v="0"/>
  </r>
  <r>
    <d v="2024-10-10T22:50:00"/>
    <x v="1"/>
    <x v="17"/>
    <n v="0"/>
  </r>
  <r>
    <d v="2024-10-10T23:00:00"/>
    <x v="1"/>
    <x v="18"/>
    <n v="0"/>
  </r>
  <r>
    <d v="2024-10-10T23:10:00"/>
    <x v="1"/>
    <x v="18"/>
    <n v="0"/>
  </r>
  <r>
    <d v="2024-10-10T23:20:00"/>
    <x v="1"/>
    <x v="18"/>
    <n v="0"/>
  </r>
  <r>
    <d v="2024-10-10T23:30:00"/>
    <x v="1"/>
    <x v="18"/>
    <n v="0"/>
  </r>
  <r>
    <d v="2024-10-10T23:40:00"/>
    <x v="1"/>
    <x v="18"/>
    <n v="0"/>
  </r>
  <r>
    <d v="2024-10-10T23:50:00"/>
    <x v="1"/>
    <x v="18"/>
    <n v="0"/>
  </r>
  <r>
    <d v="2024-10-11T00:00:00"/>
    <x v="2"/>
    <x v="19"/>
    <n v="0"/>
  </r>
  <r>
    <d v="2024-10-11T00:10:00"/>
    <x v="2"/>
    <x v="19"/>
    <n v="0"/>
  </r>
  <r>
    <d v="2024-10-11T00:20:00"/>
    <x v="2"/>
    <x v="19"/>
    <n v="0"/>
  </r>
  <r>
    <d v="2024-10-11T00:30:00"/>
    <x v="2"/>
    <x v="19"/>
    <n v="0"/>
  </r>
  <r>
    <d v="2024-10-11T00:40:00"/>
    <x v="2"/>
    <x v="19"/>
    <n v="0"/>
  </r>
  <r>
    <d v="2024-10-11T00:50:00"/>
    <x v="2"/>
    <x v="19"/>
    <n v="0"/>
  </r>
  <r>
    <d v="2024-10-11T01:00:00"/>
    <x v="2"/>
    <x v="20"/>
    <n v="0"/>
  </r>
  <r>
    <d v="2024-10-11T01:10:00"/>
    <x v="2"/>
    <x v="20"/>
    <n v="0"/>
  </r>
  <r>
    <d v="2024-10-11T01:20:00"/>
    <x v="2"/>
    <x v="20"/>
    <n v="0"/>
  </r>
  <r>
    <d v="2024-10-11T01:30:00"/>
    <x v="2"/>
    <x v="20"/>
    <n v="0"/>
  </r>
  <r>
    <d v="2024-10-11T01:40:00"/>
    <x v="2"/>
    <x v="20"/>
    <n v="0"/>
  </r>
  <r>
    <d v="2024-10-11T01:50:00"/>
    <x v="2"/>
    <x v="20"/>
    <n v="0"/>
  </r>
  <r>
    <d v="2024-10-11T02:00:00"/>
    <x v="2"/>
    <x v="21"/>
    <n v="0"/>
  </r>
  <r>
    <d v="2024-10-11T02:10:00"/>
    <x v="2"/>
    <x v="21"/>
    <n v="0"/>
  </r>
  <r>
    <d v="2024-10-11T02:20:00"/>
    <x v="2"/>
    <x v="21"/>
    <n v="0"/>
  </r>
  <r>
    <d v="2024-10-11T02:30:00"/>
    <x v="2"/>
    <x v="21"/>
    <n v="0"/>
  </r>
  <r>
    <d v="2024-10-11T02:40:00"/>
    <x v="2"/>
    <x v="21"/>
    <n v="0"/>
  </r>
  <r>
    <d v="2024-10-11T02:50:00"/>
    <x v="2"/>
    <x v="21"/>
    <n v="0"/>
  </r>
  <r>
    <d v="2024-10-11T03:00:00"/>
    <x v="2"/>
    <x v="22"/>
    <n v="0"/>
  </r>
  <r>
    <d v="2024-10-11T03:10:00"/>
    <x v="2"/>
    <x v="22"/>
    <n v="0"/>
  </r>
  <r>
    <d v="2024-10-11T03:20:00"/>
    <x v="2"/>
    <x v="22"/>
    <n v="0"/>
  </r>
  <r>
    <d v="2024-10-11T03:30:00"/>
    <x v="2"/>
    <x v="22"/>
    <n v="0"/>
  </r>
  <r>
    <d v="2024-10-11T03:40:00"/>
    <x v="2"/>
    <x v="22"/>
    <n v="0"/>
  </r>
  <r>
    <d v="2024-10-11T03:50:00"/>
    <x v="2"/>
    <x v="22"/>
    <n v="0"/>
  </r>
  <r>
    <d v="2024-10-11T04:00:00"/>
    <x v="2"/>
    <x v="23"/>
    <n v="0"/>
  </r>
  <r>
    <d v="2024-10-11T04:10:00"/>
    <x v="2"/>
    <x v="23"/>
    <n v="0"/>
  </r>
  <r>
    <d v="2024-10-11T04:20:00"/>
    <x v="2"/>
    <x v="23"/>
    <n v="0"/>
  </r>
  <r>
    <d v="2024-10-11T04:30:00"/>
    <x v="2"/>
    <x v="23"/>
    <n v="0"/>
  </r>
  <r>
    <d v="2024-10-11T04:40:00"/>
    <x v="2"/>
    <x v="23"/>
    <n v="0"/>
  </r>
  <r>
    <d v="2024-10-11T04:50:00"/>
    <x v="2"/>
    <x v="23"/>
    <n v="0"/>
  </r>
  <r>
    <d v="2024-10-11T05:00:00"/>
    <x v="2"/>
    <x v="0"/>
    <n v="0"/>
  </r>
  <r>
    <d v="2024-10-11T05:10:00"/>
    <x v="2"/>
    <x v="0"/>
    <n v="0"/>
  </r>
  <r>
    <d v="2024-10-11T05:20:00"/>
    <x v="2"/>
    <x v="0"/>
    <n v="0"/>
  </r>
  <r>
    <d v="2024-10-11T05:30:00"/>
    <x v="2"/>
    <x v="0"/>
    <n v="0"/>
  </r>
  <r>
    <d v="2024-10-11T05:40:00"/>
    <x v="2"/>
    <x v="0"/>
    <n v="0"/>
  </r>
  <r>
    <d v="2024-10-11T05:50:00"/>
    <x v="2"/>
    <x v="0"/>
    <n v="0"/>
  </r>
  <r>
    <d v="2024-10-11T06:00:00"/>
    <x v="2"/>
    <x v="1"/>
    <n v="0"/>
  </r>
  <r>
    <d v="2024-10-11T06:10:00"/>
    <x v="2"/>
    <x v="1"/>
    <n v="0"/>
  </r>
  <r>
    <d v="2024-10-11T06:20:00"/>
    <x v="2"/>
    <x v="1"/>
    <n v="0"/>
  </r>
  <r>
    <d v="2024-10-11T06:30:00"/>
    <x v="2"/>
    <x v="1"/>
    <n v="0"/>
  </r>
  <r>
    <d v="2024-10-11T06:40:00"/>
    <x v="2"/>
    <x v="1"/>
    <n v="0"/>
  </r>
  <r>
    <d v="2024-10-11T06:50:00"/>
    <x v="2"/>
    <x v="1"/>
    <n v="0"/>
  </r>
  <r>
    <d v="2024-10-11T07:00:00"/>
    <x v="2"/>
    <x v="2"/>
    <n v="0"/>
  </r>
  <r>
    <d v="2024-10-11T07:10:00"/>
    <x v="2"/>
    <x v="2"/>
    <n v="0"/>
  </r>
  <r>
    <d v="2024-10-11T07:20:00"/>
    <x v="2"/>
    <x v="2"/>
    <n v="0"/>
  </r>
  <r>
    <d v="2024-10-11T07:30:00"/>
    <x v="2"/>
    <x v="2"/>
    <n v="0"/>
  </r>
  <r>
    <d v="2024-10-11T07:40:00"/>
    <x v="2"/>
    <x v="2"/>
    <n v="0"/>
  </r>
  <r>
    <d v="2024-10-11T07:50:00"/>
    <x v="2"/>
    <x v="2"/>
    <n v="0"/>
  </r>
  <r>
    <d v="2024-10-11T08:00:00"/>
    <x v="2"/>
    <x v="3"/>
    <n v="0"/>
  </r>
  <r>
    <d v="2024-10-11T08:10:00"/>
    <x v="2"/>
    <x v="3"/>
    <n v="1"/>
  </r>
  <r>
    <d v="2024-10-11T08:20:00"/>
    <x v="2"/>
    <x v="3"/>
    <n v="1"/>
  </r>
  <r>
    <d v="2024-10-11T08:30:00"/>
    <x v="2"/>
    <x v="3"/>
    <n v="2"/>
  </r>
  <r>
    <d v="2024-10-11T08:40:00"/>
    <x v="2"/>
    <x v="3"/>
    <n v="2"/>
  </r>
  <r>
    <d v="2024-10-11T08:50:00"/>
    <x v="2"/>
    <x v="3"/>
    <n v="2"/>
  </r>
  <r>
    <d v="2024-10-11T09:00:00"/>
    <x v="2"/>
    <x v="4"/>
    <n v="3"/>
  </r>
  <r>
    <d v="2024-10-11T09:10:00"/>
    <x v="2"/>
    <x v="4"/>
    <n v="3"/>
  </r>
  <r>
    <d v="2024-10-11T09:20:00"/>
    <x v="2"/>
    <x v="4"/>
    <n v="3"/>
  </r>
  <r>
    <d v="2024-10-11T09:30:00"/>
    <x v="2"/>
    <x v="4"/>
    <n v="3"/>
  </r>
  <r>
    <d v="2024-10-11T09:40:00"/>
    <x v="2"/>
    <x v="4"/>
    <n v="2"/>
  </r>
  <r>
    <d v="2024-10-11T09:50:00"/>
    <x v="2"/>
    <x v="4"/>
    <n v="3"/>
  </r>
  <r>
    <d v="2024-10-11T10:00:00"/>
    <x v="2"/>
    <x v="5"/>
    <n v="3"/>
  </r>
  <r>
    <d v="2024-10-11T10:10:00"/>
    <x v="2"/>
    <x v="5"/>
    <n v="3"/>
  </r>
  <r>
    <d v="2024-10-11T10:20:00"/>
    <x v="2"/>
    <x v="5"/>
    <n v="4"/>
  </r>
  <r>
    <d v="2024-10-11T10:30:00"/>
    <x v="2"/>
    <x v="5"/>
    <n v="4"/>
  </r>
  <r>
    <d v="2024-10-11T10:40:00"/>
    <x v="2"/>
    <x v="5"/>
    <n v="4"/>
  </r>
  <r>
    <d v="2024-10-11T10:50:00"/>
    <x v="2"/>
    <x v="5"/>
    <n v="4"/>
  </r>
  <r>
    <d v="2024-10-11T11:00:00"/>
    <x v="2"/>
    <x v="6"/>
    <n v="4"/>
  </r>
  <r>
    <d v="2024-10-11T11:10:00"/>
    <x v="2"/>
    <x v="6"/>
    <n v="5"/>
  </r>
  <r>
    <d v="2024-10-11T11:20:00"/>
    <x v="2"/>
    <x v="6"/>
    <n v="5"/>
  </r>
  <r>
    <d v="2024-10-11T11:30:00"/>
    <x v="2"/>
    <x v="6"/>
    <n v="5"/>
  </r>
  <r>
    <d v="2024-10-11T11:40:00"/>
    <x v="2"/>
    <x v="6"/>
    <n v="5"/>
  </r>
  <r>
    <d v="2024-10-11T11:50:00"/>
    <x v="2"/>
    <x v="6"/>
    <n v="5"/>
  </r>
  <r>
    <d v="2024-10-11T12:00:00"/>
    <x v="2"/>
    <x v="7"/>
    <n v="5"/>
  </r>
  <r>
    <d v="2024-10-11T12:10:00"/>
    <x v="2"/>
    <x v="7"/>
    <n v="5"/>
  </r>
  <r>
    <d v="2024-10-11T12:20:00"/>
    <x v="2"/>
    <x v="7"/>
    <n v="5"/>
  </r>
  <r>
    <d v="2024-10-11T12:30:00"/>
    <x v="2"/>
    <x v="7"/>
    <n v="5"/>
  </r>
  <r>
    <d v="2024-10-11T12:40:00"/>
    <x v="2"/>
    <x v="7"/>
    <n v="4"/>
  </r>
  <r>
    <d v="2024-10-11T12:50:00"/>
    <x v="2"/>
    <x v="7"/>
    <n v="3"/>
  </r>
  <r>
    <d v="2024-10-11T13:00:00"/>
    <x v="2"/>
    <x v="8"/>
    <n v="3"/>
  </r>
  <r>
    <d v="2024-10-11T13:10:00"/>
    <x v="2"/>
    <x v="8"/>
    <n v="3"/>
  </r>
  <r>
    <d v="2024-10-11T13:20:00"/>
    <x v="2"/>
    <x v="8"/>
    <n v="3"/>
  </r>
  <r>
    <d v="2024-10-11T13:30:00"/>
    <x v="2"/>
    <x v="8"/>
    <n v="3"/>
  </r>
  <r>
    <d v="2024-10-11T13:40:00"/>
    <x v="2"/>
    <x v="8"/>
    <n v="3"/>
  </r>
  <r>
    <d v="2024-10-11T13:50:00"/>
    <x v="2"/>
    <x v="8"/>
    <n v="3"/>
  </r>
  <r>
    <d v="2024-10-11T14:00:00"/>
    <x v="2"/>
    <x v="9"/>
    <n v="3"/>
  </r>
  <r>
    <d v="2024-10-11T14:10:00"/>
    <x v="2"/>
    <x v="9"/>
    <n v="3"/>
  </r>
  <r>
    <d v="2024-10-11T14:20:00"/>
    <x v="2"/>
    <x v="9"/>
    <n v="2"/>
  </r>
  <r>
    <d v="2024-10-11T14:30:00"/>
    <x v="2"/>
    <x v="9"/>
    <n v="2"/>
  </r>
  <r>
    <d v="2024-10-11T14:40:00"/>
    <x v="2"/>
    <x v="9"/>
    <n v="2"/>
  </r>
  <r>
    <d v="2024-10-11T14:50:00"/>
    <x v="2"/>
    <x v="9"/>
    <n v="2"/>
  </r>
  <r>
    <d v="2024-10-11T15:00:00"/>
    <x v="2"/>
    <x v="10"/>
    <n v="3"/>
  </r>
  <r>
    <d v="2024-10-11T15:10:00"/>
    <x v="2"/>
    <x v="10"/>
    <n v="3"/>
  </r>
  <r>
    <d v="2024-10-11T15:20:00"/>
    <x v="2"/>
    <x v="10"/>
    <n v="3"/>
  </r>
  <r>
    <d v="2024-10-11T15:30:00"/>
    <x v="2"/>
    <x v="10"/>
    <n v="3"/>
  </r>
  <r>
    <d v="2024-10-11T15:40:00"/>
    <x v="2"/>
    <x v="10"/>
    <n v="3"/>
  </r>
  <r>
    <d v="2024-10-11T15:50:00"/>
    <x v="2"/>
    <x v="10"/>
    <n v="4"/>
  </r>
  <r>
    <d v="2024-10-11T16:00:00"/>
    <x v="2"/>
    <x v="11"/>
    <n v="4"/>
  </r>
  <r>
    <d v="2024-10-11T16:10:00"/>
    <x v="2"/>
    <x v="11"/>
    <n v="4"/>
  </r>
  <r>
    <d v="2024-10-11T16:20:00"/>
    <x v="2"/>
    <x v="11"/>
    <n v="4"/>
  </r>
  <r>
    <d v="2024-10-11T16:30:00"/>
    <x v="2"/>
    <x v="11"/>
    <n v="4"/>
  </r>
  <r>
    <d v="2024-10-11T16:40:00"/>
    <x v="2"/>
    <x v="11"/>
    <n v="6"/>
  </r>
  <r>
    <d v="2024-10-11T16:50:00"/>
    <x v="2"/>
    <x v="11"/>
    <n v="6"/>
  </r>
  <r>
    <d v="2024-10-11T17:00:00"/>
    <x v="2"/>
    <x v="12"/>
    <n v="5"/>
  </r>
  <r>
    <d v="2024-10-11T17:10:00"/>
    <x v="2"/>
    <x v="12"/>
    <n v="5"/>
  </r>
  <r>
    <d v="2024-10-11T17:20:00"/>
    <x v="2"/>
    <x v="12"/>
    <n v="5"/>
  </r>
  <r>
    <d v="2024-10-11T17:30:00"/>
    <x v="2"/>
    <x v="12"/>
    <n v="4"/>
  </r>
  <r>
    <d v="2024-10-11T17:40:00"/>
    <x v="2"/>
    <x v="12"/>
    <n v="4"/>
  </r>
  <r>
    <d v="2024-10-11T17:50:00"/>
    <x v="2"/>
    <x v="12"/>
    <n v="4"/>
  </r>
  <r>
    <d v="2024-10-11T18:00:00"/>
    <x v="2"/>
    <x v="13"/>
    <n v="3"/>
  </r>
  <r>
    <d v="2024-10-11T18:10:00"/>
    <x v="2"/>
    <x v="13"/>
    <n v="3"/>
  </r>
  <r>
    <d v="2024-10-11T18:20:00"/>
    <x v="2"/>
    <x v="13"/>
    <n v="3"/>
  </r>
  <r>
    <d v="2024-10-11T18:30:00"/>
    <x v="2"/>
    <x v="13"/>
    <n v="2"/>
  </r>
  <r>
    <d v="2024-10-11T18:40:00"/>
    <x v="2"/>
    <x v="13"/>
    <n v="2"/>
  </r>
  <r>
    <d v="2024-10-11T18:50:00"/>
    <x v="2"/>
    <x v="13"/>
    <n v="1"/>
  </r>
  <r>
    <d v="2024-10-11T19:00:00"/>
    <x v="2"/>
    <x v="14"/>
    <n v="1"/>
  </r>
  <r>
    <d v="2024-10-11T19:10:00"/>
    <x v="2"/>
    <x v="14"/>
    <n v="1"/>
  </r>
  <r>
    <d v="2024-10-11T19:20:00"/>
    <x v="2"/>
    <x v="14"/>
    <n v="0"/>
  </r>
  <r>
    <d v="2024-10-11T19:30:00"/>
    <x v="2"/>
    <x v="14"/>
    <n v="0"/>
  </r>
  <r>
    <d v="2024-10-11T19:40:00"/>
    <x v="2"/>
    <x v="14"/>
    <n v="0"/>
  </r>
  <r>
    <d v="2024-10-11T19:50:00"/>
    <x v="2"/>
    <x v="14"/>
    <n v="0"/>
  </r>
  <r>
    <d v="2024-10-11T20:00:00"/>
    <x v="2"/>
    <x v="15"/>
    <n v="0"/>
  </r>
  <r>
    <d v="2024-10-11T20:10:00"/>
    <x v="2"/>
    <x v="15"/>
    <n v="0"/>
  </r>
  <r>
    <d v="2024-10-11T20:20:00"/>
    <x v="2"/>
    <x v="15"/>
    <n v="0"/>
  </r>
  <r>
    <d v="2024-10-11T20:30:00"/>
    <x v="2"/>
    <x v="15"/>
    <n v="0"/>
  </r>
  <r>
    <d v="2024-10-11T20:40:00"/>
    <x v="2"/>
    <x v="15"/>
    <n v="0"/>
  </r>
  <r>
    <d v="2024-10-11T20:50:00"/>
    <x v="2"/>
    <x v="15"/>
    <n v="0"/>
  </r>
  <r>
    <d v="2024-10-11T21:00:00"/>
    <x v="2"/>
    <x v="16"/>
    <n v="0"/>
  </r>
  <r>
    <d v="2024-10-11T21:10:00"/>
    <x v="2"/>
    <x v="16"/>
    <n v="0"/>
  </r>
  <r>
    <d v="2024-10-11T21:20:00"/>
    <x v="2"/>
    <x v="16"/>
    <n v="0"/>
  </r>
  <r>
    <d v="2024-10-11T21:30:00"/>
    <x v="2"/>
    <x v="16"/>
    <n v="0"/>
  </r>
  <r>
    <d v="2024-10-11T21:40:00"/>
    <x v="2"/>
    <x v="16"/>
    <n v="0"/>
  </r>
  <r>
    <d v="2024-10-11T21:50:00"/>
    <x v="2"/>
    <x v="16"/>
    <n v="0"/>
  </r>
  <r>
    <d v="2024-10-11T22:00:01"/>
    <x v="2"/>
    <x v="17"/>
    <n v="0"/>
  </r>
  <r>
    <d v="2024-10-11T22:10:01"/>
    <x v="2"/>
    <x v="17"/>
    <n v="0"/>
  </r>
  <r>
    <d v="2024-10-11T22:20:01"/>
    <x v="2"/>
    <x v="17"/>
    <n v="0"/>
  </r>
  <r>
    <d v="2024-10-11T22:40:01"/>
    <x v="2"/>
    <x v="17"/>
    <n v="0"/>
  </r>
  <r>
    <d v="2024-10-12T00:00:00"/>
    <x v="3"/>
    <x v="19"/>
    <n v="0"/>
  </r>
  <r>
    <d v="2024-10-12T00:10:00"/>
    <x v="3"/>
    <x v="19"/>
    <n v="0"/>
  </r>
  <r>
    <d v="2024-10-12T00:20:00"/>
    <x v="3"/>
    <x v="19"/>
    <n v="0"/>
  </r>
  <r>
    <d v="2024-10-12T00:30:00"/>
    <x v="3"/>
    <x v="19"/>
    <n v="0"/>
  </r>
  <r>
    <d v="2024-10-12T00:40:00"/>
    <x v="3"/>
    <x v="19"/>
    <n v="0"/>
  </r>
  <r>
    <d v="2024-10-12T00:50:00"/>
    <x v="3"/>
    <x v="19"/>
    <n v="0"/>
  </r>
  <r>
    <d v="2024-10-12T01:00:00"/>
    <x v="3"/>
    <x v="20"/>
    <n v="0"/>
  </r>
  <r>
    <d v="2024-10-12T01:10:00"/>
    <x v="3"/>
    <x v="20"/>
    <n v="0"/>
  </r>
  <r>
    <d v="2024-10-12T01:20:00"/>
    <x v="3"/>
    <x v="20"/>
    <n v="0"/>
  </r>
  <r>
    <d v="2024-10-12T01:30:00"/>
    <x v="3"/>
    <x v="20"/>
    <n v="0"/>
  </r>
  <r>
    <d v="2024-10-12T01:40:00"/>
    <x v="3"/>
    <x v="20"/>
    <n v="0"/>
  </r>
  <r>
    <d v="2024-10-12T01:50:00"/>
    <x v="3"/>
    <x v="20"/>
    <n v="0"/>
  </r>
  <r>
    <d v="2024-10-12T02:00:00"/>
    <x v="3"/>
    <x v="21"/>
    <n v="0"/>
  </r>
  <r>
    <d v="2024-10-12T02:10:00"/>
    <x v="3"/>
    <x v="21"/>
    <n v="0"/>
  </r>
  <r>
    <d v="2024-10-12T02:20:00"/>
    <x v="3"/>
    <x v="21"/>
    <n v="0"/>
  </r>
  <r>
    <d v="2024-10-12T02:30:00"/>
    <x v="3"/>
    <x v="21"/>
    <n v="0"/>
  </r>
  <r>
    <d v="2024-10-12T02:40:00"/>
    <x v="3"/>
    <x v="21"/>
    <n v="0"/>
  </r>
  <r>
    <d v="2024-10-12T02:50:00"/>
    <x v="3"/>
    <x v="21"/>
    <n v="0"/>
  </r>
  <r>
    <d v="2024-10-12T03:00:00"/>
    <x v="3"/>
    <x v="22"/>
    <n v="0"/>
  </r>
  <r>
    <d v="2024-10-12T03:10:00"/>
    <x v="3"/>
    <x v="22"/>
    <n v="0"/>
  </r>
  <r>
    <d v="2024-10-12T03:20:00"/>
    <x v="3"/>
    <x v="22"/>
    <n v="0"/>
  </r>
  <r>
    <d v="2024-10-12T03:30:00"/>
    <x v="3"/>
    <x v="22"/>
    <n v="0"/>
  </r>
  <r>
    <d v="2024-10-12T03:40:00"/>
    <x v="3"/>
    <x v="22"/>
    <n v="0"/>
  </r>
  <r>
    <d v="2024-10-12T03:50:00"/>
    <x v="3"/>
    <x v="22"/>
    <n v="0"/>
  </r>
  <r>
    <d v="2024-10-12T04:00:00"/>
    <x v="3"/>
    <x v="23"/>
    <n v="0"/>
  </r>
  <r>
    <d v="2024-10-12T04:10:00"/>
    <x v="3"/>
    <x v="23"/>
    <n v="0"/>
  </r>
  <r>
    <d v="2024-10-12T04:20:00"/>
    <x v="3"/>
    <x v="23"/>
    <n v="0"/>
  </r>
  <r>
    <d v="2024-10-12T04:30:00"/>
    <x v="3"/>
    <x v="23"/>
    <n v="0"/>
  </r>
  <r>
    <d v="2024-10-12T04:40:00"/>
    <x v="3"/>
    <x v="23"/>
    <n v="0"/>
  </r>
  <r>
    <d v="2024-10-12T04:50:00"/>
    <x v="3"/>
    <x v="23"/>
    <n v="0"/>
  </r>
  <r>
    <d v="2024-10-12T05:00:00"/>
    <x v="3"/>
    <x v="0"/>
    <n v="0"/>
  </r>
  <r>
    <d v="2024-10-12T05:10:00"/>
    <x v="3"/>
    <x v="0"/>
    <n v="0"/>
  </r>
  <r>
    <d v="2024-10-12T05:20:00"/>
    <x v="3"/>
    <x v="0"/>
    <n v="0"/>
  </r>
  <r>
    <d v="2024-10-12T05:30:00"/>
    <x v="3"/>
    <x v="0"/>
    <n v="0"/>
  </r>
  <r>
    <d v="2024-10-12T05:40:00"/>
    <x v="3"/>
    <x v="0"/>
    <n v="0"/>
  </r>
  <r>
    <d v="2024-10-12T05:50:00"/>
    <x v="3"/>
    <x v="0"/>
    <n v="0"/>
  </r>
  <r>
    <d v="2024-10-12T06:00:00"/>
    <x v="3"/>
    <x v="1"/>
    <n v="0"/>
  </r>
  <r>
    <d v="2024-10-12T06:10:00"/>
    <x v="3"/>
    <x v="1"/>
    <n v="0"/>
  </r>
  <r>
    <d v="2024-10-12T06:20:00"/>
    <x v="3"/>
    <x v="1"/>
    <n v="0"/>
  </r>
  <r>
    <d v="2024-10-12T06:30:00"/>
    <x v="3"/>
    <x v="1"/>
    <n v="0"/>
  </r>
  <r>
    <d v="2024-10-12T06:40:00"/>
    <x v="3"/>
    <x v="1"/>
    <n v="0"/>
  </r>
  <r>
    <d v="2024-10-12T06:50:00"/>
    <x v="3"/>
    <x v="1"/>
    <n v="0"/>
  </r>
  <r>
    <d v="2024-10-12T07:00:00"/>
    <x v="3"/>
    <x v="2"/>
    <n v="0"/>
  </r>
  <r>
    <d v="2024-10-12T07:10:00"/>
    <x v="3"/>
    <x v="2"/>
    <n v="0"/>
  </r>
  <r>
    <d v="2024-10-12T07:20:00"/>
    <x v="3"/>
    <x v="2"/>
    <n v="0"/>
  </r>
  <r>
    <d v="2024-10-12T07:30:00"/>
    <x v="3"/>
    <x v="2"/>
    <n v="1"/>
  </r>
  <r>
    <d v="2024-10-12T07:40:00"/>
    <x v="3"/>
    <x v="2"/>
    <n v="1"/>
  </r>
  <r>
    <d v="2024-10-12T07:50:00"/>
    <x v="3"/>
    <x v="2"/>
    <n v="1"/>
  </r>
  <r>
    <d v="2024-10-12T08:00:00"/>
    <x v="3"/>
    <x v="3"/>
    <n v="1"/>
  </r>
  <r>
    <d v="2024-10-12T08:10:00"/>
    <x v="3"/>
    <x v="3"/>
    <n v="1"/>
  </r>
  <r>
    <d v="2024-10-12T08:20:00"/>
    <x v="3"/>
    <x v="3"/>
    <n v="1"/>
  </r>
  <r>
    <d v="2024-10-12T08:30:00"/>
    <x v="3"/>
    <x v="3"/>
    <n v="2"/>
  </r>
  <r>
    <d v="2024-10-12T08:40:00"/>
    <x v="3"/>
    <x v="3"/>
    <n v="2"/>
  </r>
  <r>
    <d v="2024-10-12T08:50:00"/>
    <x v="3"/>
    <x v="3"/>
    <n v="2"/>
  </r>
  <r>
    <d v="2024-10-12T09:00:00"/>
    <x v="3"/>
    <x v="4"/>
    <n v="3"/>
  </r>
  <r>
    <d v="2024-10-12T09:10:00"/>
    <x v="3"/>
    <x v="4"/>
    <n v="3"/>
  </r>
  <r>
    <d v="2024-10-12T09:20:00"/>
    <x v="3"/>
    <x v="4"/>
    <n v="3"/>
  </r>
  <r>
    <d v="2024-10-12T09:30:00"/>
    <x v="3"/>
    <x v="4"/>
    <n v="3"/>
  </r>
  <r>
    <d v="2024-10-12T09:40:00"/>
    <x v="3"/>
    <x v="4"/>
    <n v="2"/>
  </r>
  <r>
    <d v="2024-10-12T09:50:00"/>
    <x v="3"/>
    <x v="4"/>
    <n v="3"/>
  </r>
  <r>
    <d v="2024-10-12T10:00:00"/>
    <x v="3"/>
    <x v="5"/>
    <n v="3"/>
  </r>
  <r>
    <d v="2024-10-12T10:10:00"/>
    <x v="3"/>
    <x v="5"/>
    <n v="3"/>
  </r>
  <r>
    <d v="2024-10-12T10:20:00"/>
    <x v="3"/>
    <x v="5"/>
    <n v="4"/>
  </r>
  <r>
    <d v="2024-10-12T10:30:00"/>
    <x v="3"/>
    <x v="5"/>
    <n v="4"/>
  </r>
  <r>
    <d v="2024-10-12T10:40:00"/>
    <x v="3"/>
    <x v="5"/>
    <n v="4"/>
  </r>
  <r>
    <d v="2024-10-12T10:50:00"/>
    <x v="3"/>
    <x v="5"/>
    <n v="4"/>
  </r>
  <r>
    <d v="2024-10-12T11:00:00"/>
    <x v="3"/>
    <x v="6"/>
    <n v="4"/>
  </r>
  <r>
    <d v="2024-10-12T11:10:00"/>
    <x v="3"/>
    <x v="6"/>
    <n v="5"/>
  </r>
  <r>
    <d v="2024-10-12T11:20:00"/>
    <x v="3"/>
    <x v="6"/>
    <n v="5"/>
  </r>
  <r>
    <d v="2024-10-12T11:30:00"/>
    <x v="3"/>
    <x v="6"/>
    <n v="5"/>
  </r>
  <r>
    <d v="2024-10-12T11:40:00"/>
    <x v="3"/>
    <x v="6"/>
    <n v="5"/>
  </r>
  <r>
    <d v="2024-10-12T11:50:00"/>
    <x v="3"/>
    <x v="6"/>
    <n v="5"/>
  </r>
  <r>
    <d v="2024-10-12T12:00:00"/>
    <x v="3"/>
    <x v="7"/>
    <n v="5"/>
  </r>
  <r>
    <d v="2024-10-12T12:10:00"/>
    <x v="3"/>
    <x v="7"/>
    <n v="5"/>
  </r>
  <r>
    <d v="2024-10-12T12:20:00"/>
    <x v="3"/>
    <x v="7"/>
    <n v="5"/>
  </r>
  <r>
    <d v="2024-10-12T12:30:00"/>
    <x v="3"/>
    <x v="7"/>
    <n v="5"/>
  </r>
  <r>
    <d v="2024-10-12T12:40:00"/>
    <x v="3"/>
    <x v="7"/>
    <n v="4"/>
  </r>
  <r>
    <d v="2024-10-12T12:50:00"/>
    <x v="3"/>
    <x v="7"/>
    <n v="3"/>
  </r>
  <r>
    <d v="2024-10-12T13:00:00"/>
    <x v="3"/>
    <x v="8"/>
    <n v="3"/>
  </r>
  <r>
    <d v="2024-10-12T13:10:00"/>
    <x v="3"/>
    <x v="8"/>
    <n v="3"/>
  </r>
  <r>
    <d v="2024-10-12T13:20:00"/>
    <x v="3"/>
    <x v="8"/>
    <n v="3"/>
  </r>
  <r>
    <d v="2024-10-12T13:30:00"/>
    <x v="3"/>
    <x v="8"/>
    <n v="3"/>
  </r>
  <r>
    <d v="2024-10-12T13:40:00"/>
    <x v="3"/>
    <x v="8"/>
    <n v="3"/>
  </r>
  <r>
    <d v="2024-10-12T13:50:00"/>
    <x v="3"/>
    <x v="8"/>
    <n v="3"/>
  </r>
  <r>
    <d v="2024-10-12T14:00:00"/>
    <x v="3"/>
    <x v="9"/>
    <n v="3"/>
  </r>
  <r>
    <d v="2024-10-12T14:10:00"/>
    <x v="3"/>
    <x v="9"/>
    <n v="3"/>
  </r>
  <r>
    <d v="2024-10-12T14:20:00"/>
    <x v="3"/>
    <x v="9"/>
    <n v="2"/>
  </r>
  <r>
    <d v="2024-10-12T14:30:00"/>
    <x v="3"/>
    <x v="9"/>
    <n v="2"/>
  </r>
  <r>
    <d v="2024-10-12T14:40:00"/>
    <x v="3"/>
    <x v="9"/>
    <n v="2"/>
  </r>
  <r>
    <d v="2024-10-12T14:50:00"/>
    <x v="3"/>
    <x v="9"/>
    <n v="2"/>
  </r>
  <r>
    <d v="2024-10-12T15:00:00"/>
    <x v="3"/>
    <x v="10"/>
    <n v="3"/>
  </r>
  <r>
    <d v="2024-10-12T15:10:00"/>
    <x v="3"/>
    <x v="10"/>
    <n v="3"/>
  </r>
  <r>
    <d v="2024-10-12T15:20:00"/>
    <x v="3"/>
    <x v="10"/>
    <n v="3"/>
  </r>
  <r>
    <d v="2024-10-12T15:30:00"/>
    <x v="3"/>
    <x v="10"/>
    <n v="3"/>
  </r>
  <r>
    <d v="2024-10-12T15:40:00"/>
    <x v="3"/>
    <x v="10"/>
    <n v="3"/>
  </r>
  <r>
    <d v="2024-10-12T15:50:00"/>
    <x v="3"/>
    <x v="10"/>
    <n v="4"/>
  </r>
  <r>
    <d v="2024-10-12T16:00:00"/>
    <x v="3"/>
    <x v="11"/>
    <n v="4"/>
  </r>
  <r>
    <d v="2024-10-12T16:10:00"/>
    <x v="3"/>
    <x v="11"/>
    <n v="4"/>
  </r>
  <r>
    <d v="2024-10-12T16:20:00"/>
    <x v="3"/>
    <x v="11"/>
    <n v="4"/>
  </r>
  <r>
    <d v="2024-10-12T16:30:00"/>
    <x v="3"/>
    <x v="11"/>
    <n v="4"/>
  </r>
  <r>
    <d v="2024-10-12T16:40:00"/>
    <x v="3"/>
    <x v="11"/>
    <n v="6"/>
  </r>
  <r>
    <d v="2024-10-12T16:50:01"/>
    <x v="3"/>
    <x v="11"/>
    <n v="0"/>
  </r>
  <r>
    <d v="2024-10-12T17:00:00"/>
    <x v="3"/>
    <x v="12"/>
    <n v="0"/>
  </r>
  <r>
    <d v="2024-10-12T17:10:06"/>
    <x v="3"/>
    <x v="12"/>
    <n v="0"/>
  </r>
  <r>
    <d v="2024-10-12T17:20:00"/>
    <x v="3"/>
    <x v="12"/>
    <n v="0"/>
  </r>
  <r>
    <d v="2024-10-12T17:30:00"/>
    <x v="3"/>
    <x v="12"/>
    <n v="1"/>
  </r>
  <r>
    <d v="2024-10-12T17:40:00"/>
    <x v="3"/>
    <x v="12"/>
    <n v="0"/>
  </r>
  <r>
    <d v="2024-10-12T17:50:01"/>
    <x v="3"/>
    <x v="12"/>
    <n v="1"/>
  </r>
  <r>
    <d v="2024-10-12T18:00:00"/>
    <x v="3"/>
    <x v="13"/>
    <n v="1"/>
  </r>
  <r>
    <d v="2024-10-12T18:10:00"/>
    <x v="3"/>
    <x v="13"/>
    <n v="1"/>
  </r>
  <r>
    <d v="2024-10-12T18:20:00"/>
    <x v="3"/>
    <x v="13"/>
    <n v="0"/>
  </r>
  <r>
    <d v="2024-10-12T18:30:00"/>
    <x v="3"/>
    <x v="13"/>
    <n v="0"/>
  </r>
  <r>
    <d v="2024-10-12T18:40:01"/>
    <x v="3"/>
    <x v="13"/>
    <n v="0"/>
  </r>
  <r>
    <d v="2024-10-12T18:50:00"/>
    <x v="3"/>
    <x v="13"/>
    <n v="0"/>
  </r>
  <r>
    <d v="2024-10-12T19:00:00"/>
    <x v="3"/>
    <x v="14"/>
    <n v="0"/>
  </r>
  <r>
    <d v="2024-10-12T19:10:00"/>
    <x v="3"/>
    <x v="14"/>
    <n v="0"/>
  </r>
  <r>
    <d v="2024-10-12T19:20:00"/>
    <x v="3"/>
    <x v="14"/>
    <n v="0"/>
  </r>
  <r>
    <d v="2024-10-12T19:30:01"/>
    <x v="3"/>
    <x v="14"/>
    <n v="0"/>
  </r>
  <r>
    <d v="2024-10-12T19:40:00"/>
    <x v="3"/>
    <x v="14"/>
    <n v="0"/>
  </r>
  <r>
    <d v="2024-10-12T19:50:00"/>
    <x v="3"/>
    <x v="14"/>
    <n v="0"/>
  </r>
  <r>
    <d v="2024-10-12T20:00:00"/>
    <x v="3"/>
    <x v="15"/>
    <n v="1"/>
  </r>
  <r>
    <d v="2024-10-12T20:10:01"/>
    <x v="3"/>
    <x v="15"/>
    <n v="1"/>
  </r>
  <r>
    <d v="2024-10-12T20:20:01"/>
    <x v="3"/>
    <x v="15"/>
    <n v="1"/>
  </r>
  <r>
    <d v="2024-10-12T20:30:00"/>
    <x v="3"/>
    <x v="15"/>
    <n v="0"/>
  </r>
  <r>
    <d v="2024-10-14T08:10:01"/>
    <x v="4"/>
    <x v="3"/>
    <n v="0"/>
  </r>
  <r>
    <d v="2024-10-14T08:20:00"/>
    <x v="4"/>
    <x v="3"/>
    <n v="0"/>
  </r>
  <r>
    <d v="2024-10-14T08:30:00"/>
    <x v="4"/>
    <x v="3"/>
    <n v="0"/>
  </r>
  <r>
    <d v="2024-10-14T08:40:00"/>
    <x v="4"/>
    <x v="3"/>
    <n v="0"/>
  </r>
  <r>
    <d v="2024-10-14T08:50:00"/>
    <x v="4"/>
    <x v="3"/>
    <n v="0"/>
  </r>
  <r>
    <d v="2024-10-14T09:00:01"/>
    <x v="4"/>
    <x v="4"/>
    <n v="0"/>
  </r>
  <r>
    <d v="2024-10-14T09:10:00"/>
    <x v="4"/>
    <x v="4"/>
    <n v="0"/>
  </r>
  <r>
    <d v="2024-10-14T09:20:00"/>
    <x v="4"/>
    <x v="4"/>
    <n v="0"/>
  </r>
  <r>
    <d v="2024-10-14T09:30:00"/>
    <x v="4"/>
    <x v="4"/>
    <n v="0"/>
  </r>
  <r>
    <d v="2024-10-14T09:40:00"/>
    <x v="4"/>
    <x v="4"/>
    <n v="1"/>
  </r>
  <r>
    <d v="2024-10-14T09:50:01"/>
    <x v="4"/>
    <x v="4"/>
    <n v="1"/>
  </r>
  <r>
    <d v="2024-10-14T10:00:00"/>
    <x v="4"/>
    <x v="5"/>
    <n v="3"/>
  </r>
  <r>
    <d v="2024-10-14T10:10:00"/>
    <x v="4"/>
    <x v="5"/>
    <n v="2"/>
  </r>
  <r>
    <d v="2024-10-14T10:20:01"/>
    <x v="4"/>
    <x v="5"/>
    <n v="3"/>
  </r>
  <r>
    <d v="2024-10-14T10:30:01"/>
    <x v="4"/>
    <x v="5"/>
    <n v="3"/>
  </r>
  <r>
    <d v="2024-10-14T10:40:00"/>
    <x v="4"/>
    <x v="5"/>
    <n v="3"/>
  </r>
  <r>
    <d v="2024-10-14T10:50:00"/>
    <x v="4"/>
    <x v="5"/>
    <n v="0"/>
  </r>
  <r>
    <d v="2024-10-14T11:00:01"/>
    <x v="4"/>
    <x v="6"/>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5EC20B-E0A5-40AF-B91F-22F655BC90BF}" name="PivotTracking"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3" rowHeaderCaption="Time" colHeaderCaption="Users">
  <location ref="A3:E21" firstHeaderRow="1" firstDataRow="2" firstDataCol="1"/>
  <pivotFields count="11">
    <pivotField showAll="0"/>
    <pivotField axis="axisCol" showAll="0" sortType="ascending">
      <items count="18">
        <item x="3"/>
        <item m="1" x="10"/>
        <item m="1" x="7"/>
        <item m="1" x="15"/>
        <item m="1" x="11"/>
        <item m="1" x="12"/>
        <item m="1" x="8"/>
        <item m="1" x="5"/>
        <item m="1" x="6"/>
        <item m="1" x="16"/>
        <item x="1"/>
        <item x="2"/>
        <item m="1" x="13"/>
        <item m="1" x="9"/>
        <item x="0"/>
        <item m="1" x="14"/>
        <item m="1" x="4"/>
        <item t="default"/>
      </items>
    </pivotField>
    <pivotField dataField="1" showAll="0"/>
    <pivotField showAll="0"/>
    <pivotField showAll="0" sortType="ascending"/>
    <pivotField showAll="0"/>
    <pivotField showAll="0"/>
    <pivotField showAll="0"/>
    <pivotField showAll="0"/>
    <pivotField showAll="0"/>
    <pivotField axis="axisRow" showAll="0" sortType="ascending">
      <items count="195">
        <item m="1" x="96"/>
        <item m="1" x="133"/>
        <item m="1" x="100"/>
        <item m="1" x="137"/>
        <item m="1" x="85"/>
        <item m="1" x="120"/>
        <item m="1" x="70"/>
        <item m="1" x="102"/>
        <item m="1" x="54"/>
        <item m="1" x="87"/>
        <item m="1" x="40"/>
        <item m="1" x="73"/>
        <item m="1" x="184"/>
        <item m="1" x="57"/>
        <item m="1" x="188"/>
        <item m="1" x="60"/>
        <item m="1" x="171"/>
        <item m="1" x="45"/>
        <item m="1" x="155"/>
        <item m="1" x="190"/>
        <item m="1" x="138"/>
        <item m="1" x="174"/>
        <item m="1" x="121"/>
        <item m="1" x="159"/>
        <item m="1" x="103"/>
        <item m="1" x="143"/>
        <item m="1" x="106"/>
        <item m="1" x="145"/>
        <item m="1" x="90"/>
        <item m="1" x="127"/>
        <item m="1" x="75"/>
        <item m="1" x="109"/>
        <item m="1" x="61"/>
        <item m="1" x="94"/>
        <item m="1" x="46"/>
        <item m="1" x="80"/>
        <item m="1" x="191"/>
        <item m="1" x="65"/>
        <item m="1" x="33"/>
        <item m="1" x="67"/>
        <item m="1" x="177"/>
        <item m="1" x="51"/>
        <item m="1" x="161"/>
        <item m="1" x="36"/>
        <item m="1" x="146"/>
        <item m="1" x="182"/>
        <item m="1" x="128"/>
        <item m="1" x="167"/>
        <item m="1" x="110"/>
        <item m="1" x="151"/>
        <item m="1" x="114"/>
        <item m="1" x="152"/>
        <item m="1" x="97"/>
        <item m="1" x="134"/>
        <item m="1" x="82"/>
        <item m="1" x="117"/>
        <item m="1" x="68"/>
        <item x="16"/>
        <item x="15"/>
        <item x="14"/>
        <item x="13"/>
        <item x="12"/>
        <item x="11"/>
        <item x="10"/>
        <item x="9"/>
        <item x="8"/>
        <item x="7"/>
        <item x="6"/>
        <item x="5"/>
        <item x="4"/>
        <item x="3"/>
        <item x="2"/>
        <item x="1"/>
        <item x="0"/>
        <item m="1" x="157"/>
        <item m="1" x="34"/>
        <item m="1" x="140"/>
        <item m="1" x="178"/>
        <item m="1" x="124"/>
        <item m="1" x="162"/>
        <item m="1" x="107"/>
        <item m="1" x="147"/>
        <item m="1" x="91"/>
        <item m="1" x="129"/>
        <item m="1" x="76"/>
        <item m="1" x="111"/>
        <item m="1" x="79"/>
        <item m="1" x="115"/>
        <item m="1" x="64"/>
        <item m="1" x="98"/>
        <item m="1" x="49"/>
        <item m="1" x="83"/>
        <item m="1" x="35"/>
        <item m="1" x="69"/>
        <item m="1" x="179"/>
        <item m="1" x="52"/>
        <item m="1" x="163"/>
        <item m="1" x="37"/>
        <item m="1" x="166"/>
        <item m="1" x="41"/>
        <item m="1" x="150"/>
        <item m="1" x="185"/>
        <item m="1" x="132"/>
        <item m="1" x="168"/>
        <item m="1" x="116"/>
        <item m="1" x="153"/>
        <item m="1" x="99"/>
        <item m="1" x="135"/>
        <item m="1" x="84"/>
        <item m="1" x="118"/>
        <item m="1" x="86"/>
        <item m="1" x="122"/>
        <item m="1" x="71"/>
        <item m="1" x="104"/>
        <item m="1" x="55"/>
        <item m="1" x="88"/>
        <item m="1" x="42"/>
        <item m="1" x="74"/>
        <item m="1" x="186"/>
        <item m="1" x="58"/>
        <item m="1" x="169"/>
        <item m="1" x="43"/>
        <item m="1" x="172"/>
        <item m="1" x="47"/>
        <item m="1" x="156"/>
        <item m="1" x="192"/>
        <item m="1" x="139"/>
        <item m="1" x="175"/>
        <item m="1" x="123"/>
        <item m="1" x="160"/>
        <item m="1" x="105"/>
        <item m="1" x="144"/>
        <item m="1" x="89"/>
        <item m="1" x="126"/>
        <item m="1" x="92"/>
        <item m="1" x="130"/>
        <item m="1" x="77"/>
        <item m="1" x="112"/>
        <item m="1" x="62"/>
        <item m="1" x="95"/>
        <item m="1" x="48"/>
        <item m="1" x="81"/>
        <item m="1" x="193"/>
        <item m="1" x="66"/>
        <item m="1" x="176"/>
        <item m="1" x="50"/>
        <item m="1" x="180"/>
        <item m="1" x="53"/>
        <item m="1" x="164"/>
        <item m="1" x="38"/>
        <item m="1" x="148"/>
        <item m="1" x="31"/>
        <item m="1" x="30"/>
        <item m="1" x="29"/>
        <item m="1" x="28"/>
        <item m="1" x="27"/>
        <item m="1" x="26"/>
        <item m="1" x="25"/>
        <item m="1" x="24"/>
        <item m="1" x="23"/>
        <item m="1" x="22"/>
        <item m="1" x="21"/>
        <item m="1" x="20"/>
        <item m="1" x="19"/>
        <item m="1" x="18"/>
        <item m="1" x="17"/>
        <item m="1" x="39"/>
        <item m="1" x="72"/>
        <item m="1" x="183"/>
        <item m="1" x="56"/>
        <item m="1" x="187"/>
        <item m="1" x="59"/>
        <item m="1" x="170"/>
        <item m="1" x="44"/>
        <item m="1" x="154"/>
        <item m="1" x="189"/>
        <item m="1" x="136"/>
        <item m="1" x="173"/>
        <item m="1" x="119"/>
        <item m="1" x="158"/>
        <item m="1" x="101"/>
        <item m="1" x="141"/>
        <item m="1" x="142"/>
        <item m="1" x="181"/>
        <item m="1" x="125"/>
        <item m="1" x="165"/>
        <item m="1" x="108"/>
        <item m="1" x="149"/>
        <item m="1" x="93"/>
        <item m="1" x="131"/>
        <item m="1" x="78"/>
        <item m="1" x="113"/>
        <item m="1" x="63"/>
        <item m="1" x="32"/>
        <item t="default"/>
      </items>
    </pivotField>
  </pivotFields>
  <rowFields count="1">
    <field x="10"/>
  </rowFields>
  <rowItems count="17">
    <i>
      <x v="57"/>
    </i>
    <i>
      <x v="58"/>
    </i>
    <i>
      <x v="59"/>
    </i>
    <i>
      <x v="60"/>
    </i>
    <i>
      <x v="61"/>
    </i>
    <i>
      <x v="62"/>
    </i>
    <i>
      <x v="63"/>
    </i>
    <i>
      <x v="64"/>
    </i>
    <i>
      <x v="65"/>
    </i>
    <i>
      <x v="66"/>
    </i>
    <i>
      <x v="67"/>
    </i>
    <i>
      <x v="68"/>
    </i>
    <i>
      <x v="69"/>
    </i>
    <i>
      <x v="70"/>
    </i>
    <i>
      <x v="71"/>
    </i>
    <i>
      <x v="72"/>
    </i>
    <i>
      <x v="73"/>
    </i>
  </rowItems>
  <colFields count="1">
    <field x="1"/>
  </colFields>
  <colItems count="4">
    <i>
      <x/>
    </i>
    <i>
      <x v="10"/>
    </i>
    <i>
      <x v="11"/>
    </i>
    <i>
      <x v="14"/>
    </i>
  </colItems>
  <dataFields count="1">
    <dataField name="Count" fld="2" subtotal="count" baseField="4" baseItem="0"/>
  </dataFields>
  <formats count="3">
    <format dxfId="20">
      <pivotArea dataOnly="0" labelOnly="1" fieldPosition="0">
        <references count="1">
          <reference field="1" count="0"/>
        </references>
      </pivotArea>
    </format>
    <format dxfId="19">
      <pivotArea dataOnly="0" labelOnly="1" fieldPosition="0">
        <references count="1">
          <reference field="1" count="0"/>
        </references>
      </pivotArea>
    </format>
    <format dxfId="18">
      <pivotArea dataOnly="0" labelOnly="1" fieldPosition="0">
        <references count="1">
          <reference field="1" count="0"/>
        </references>
      </pivotArea>
    </format>
  </formats>
  <chartFormats count="25">
    <chartFormat chart="0" format="27" series="1">
      <pivotArea type="data" outline="0" fieldPosition="0">
        <references count="1">
          <reference field="1" count="1" selected="0">
            <x v="1"/>
          </reference>
        </references>
      </pivotArea>
    </chartFormat>
    <chartFormat chart="0" format="28" series="1">
      <pivotArea type="data" outline="0" fieldPosition="0">
        <references count="1">
          <reference field="1" count="1" selected="0">
            <x v="3"/>
          </reference>
        </references>
      </pivotArea>
    </chartFormat>
    <chartFormat chart="0" format="29" series="1">
      <pivotArea type="data" outline="0" fieldPosition="0">
        <references count="1">
          <reference field="1" count="1" selected="0">
            <x v="4"/>
          </reference>
        </references>
      </pivotArea>
    </chartFormat>
    <chartFormat chart="0" format="30" series="1">
      <pivotArea type="data" outline="0" fieldPosition="0">
        <references count="1">
          <reference field="1" count="1" selected="0">
            <x v="9"/>
          </reference>
        </references>
      </pivotArea>
    </chartFormat>
    <chartFormat chart="0" format="31" series="1">
      <pivotArea type="data" outline="0" fieldPosition="0">
        <references count="1">
          <reference field="1" count="1" selected="0">
            <x v="12"/>
          </reference>
        </references>
      </pivotArea>
    </chartFormat>
    <chartFormat chart="0" format="32" series="1">
      <pivotArea type="data" outline="0" fieldPosition="0">
        <references count="1">
          <reference field="1" count="1" selected="0">
            <x v="13"/>
          </reference>
        </references>
      </pivotArea>
    </chartFormat>
    <chartFormat chart="0" format="33" series="1">
      <pivotArea type="data" outline="0" fieldPosition="0">
        <references count="1">
          <reference field="1" count="1" selected="0">
            <x v="15"/>
          </reference>
        </references>
      </pivotArea>
    </chartFormat>
    <chartFormat chart="0" format="34" series="1">
      <pivotArea type="data" outline="0" fieldPosition="0">
        <references count="2">
          <reference field="4294967294" count="1" selected="0">
            <x v="0"/>
          </reference>
          <reference field="1" count="1" selected="0">
            <x v="1"/>
          </reference>
        </references>
      </pivotArea>
    </chartFormat>
    <chartFormat chart="0" format="35" series="1">
      <pivotArea type="data" outline="0" fieldPosition="0">
        <references count="2">
          <reference field="4294967294" count="1" selected="0">
            <x v="0"/>
          </reference>
          <reference field="1" count="1" selected="0">
            <x v="3"/>
          </reference>
        </references>
      </pivotArea>
    </chartFormat>
    <chartFormat chart="0" format="36" series="1">
      <pivotArea type="data" outline="0" fieldPosition="0">
        <references count="2">
          <reference field="4294967294" count="1" selected="0">
            <x v="0"/>
          </reference>
          <reference field="1" count="1" selected="0">
            <x v="4"/>
          </reference>
        </references>
      </pivotArea>
    </chartFormat>
    <chartFormat chart="0" format="37" series="1">
      <pivotArea type="data" outline="0" fieldPosition="0">
        <references count="2">
          <reference field="4294967294" count="1" selected="0">
            <x v="0"/>
          </reference>
          <reference field="1" count="1" selected="0">
            <x v="9"/>
          </reference>
        </references>
      </pivotArea>
    </chartFormat>
    <chartFormat chart="0" format="38" series="1">
      <pivotArea type="data" outline="0" fieldPosition="0">
        <references count="2">
          <reference field="4294967294" count="1" selected="0">
            <x v="0"/>
          </reference>
          <reference field="1" count="1" selected="0">
            <x v="12"/>
          </reference>
        </references>
      </pivotArea>
    </chartFormat>
    <chartFormat chart="0" format="39" series="1">
      <pivotArea type="data" outline="0" fieldPosition="0">
        <references count="2">
          <reference field="4294967294" count="1" selected="0">
            <x v="0"/>
          </reference>
          <reference field="1" count="1" selected="0">
            <x v="13"/>
          </reference>
        </references>
      </pivotArea>
    </chartFormat>
    <chartFormat chart="0" format="40" series="1">
      <pivotArea type="data" outline="0" fieldPosition="0">
        <references count="2">
          <reference field="4294967294" count="1" selected="0">
            <x v="0"/>
          </reference>
          <reference field="1" count="1" selected="0">
            <x v="15"/>
          </reference>
        </references>
      </pivotArea>
    </chartFormat>
    <chartFormat chart="0" format="41" series="1">
      <pivotArea type="data" outline="0" fieldPosition="0">
        <references count="2">
          <reference field="4294967294" count="1" selected="0">
            <x v="0"/>
          </reference>
          <reference field="1" count="1" selected="0">
            <x v="6"/>
          </reference>
        </references>
      </pivotArea>
    </chartFormat>
    <chartFormat chart="0" format="42" series="1">
      <pivotArea type="data" outline="0" fieldPosition="0">
        <references count="1">
          <reference field="4294967294" count="1" selected="0">
            <x v="0"/>
          </reference>
        </references>
      </pivotArea>
    </chartFormat>
    <chartFormat chart="0" format="43" series="1">
      <pivotArea type="data" outline="0" fieldPosition="0">
        <references count="2">
          <reference field="4294967294" count="1" selected="0">
            <x v="0"/>
          </reference>
          <reference field="1" count="1" selected="0">
            <x v="7"/>
          </reference>
        </references>
      </pivotArea>
    </chartFormat>
    <chartFormat chart="0" format="44" series="1">
      <pivotArea type="data" outline="0" fieldPosition="0">
        <references count="2">
          <reference field="4294967294" count="1" selected="0">
            <x v="0"/>
          </reference>
          <reference field="1" count="1" selected="0">
            <x v="14"/>
          </reference>
        </references>
      </pivotArea>
    </chartFormat>
    <chartFormat chart="0" format="45" series="1">
      <pivotArea type="data" outline="0" fieldPosition="0">
        <references count="2">
          <reference field="4294967294" count="1" selected="0">
            <x v="0"/>
          </reference>
          <reference field="1" count="1" selected="0">
            <x v="16"/>
          </reference>
        </references>
      </pivotArea>
    </chartFormat>
    <chartFormat chart="0" format="46" series="1">
      <pivotArea type="data" outline="0" fieldPosition="0">
        <references count="2">
          <reference field="4294967294" count="1" selected="0">
            <x v="0"/>
          </reference>
          <reference field="1" count="1" selected="0">
            <x v="0"/>
          </reference>
        </references>
      </pivotArea>
    </chartFormat>
    <chartFormat chart="0" format="47" series="1">
      <pivotArea type="data" outline="0" fieldPosition="0">
        <references count="2">
          <reference field="4294967294" count="1" selected="0">
            <x v="0"/>
          </reference>
          <reference field="1" count="1" selected="0">
            <x v="5"/>
          </reference>
        </references>
      </pivotArea>
    </chartFormat>
    <chartFormat chart="0" format="48" series="1">
      <pivotArea type="data" outline="0" fieldPosition="0">
        <references count="2">
          <reference field="4294967294" count="1" selected="0">
            <x v="0"/>
          </reference>
          <reference field="1" count="1" selected="0">
            <x v="8"/>
          </reference>
        </references>
      </pivotArea>
    </chartFormat>
    <chartFormat chart="0" format="49" series="1">
      <pivotArea type="data" outline="0" fieldPosition="0">
        <references count="2">
          <reference field="4294967294" count="1" selected="0">
            <x v="0"/>
          </reference>
          <reference field="1" count="1" selected="0">
            <x v="2"/>
          </reference>
        </references>
      </pivotArea>
    </chartFormat>
    <chartFormat chart="0" format="50" series="1">
      <pivotArea type="data" outline="0" fieldPosition="0">
        <references count="2">
          <reference field="4294967294" count="1" selected="0">
            <x v="0"/>
          </reference>
          <reference field="1" count="1" selected="0">
            <x v="11"/>
          </reference>
        </references>
      </pivotArea>
    </chartFormat>
    <chartFormat chart="0" format="51" series="1">
      <pivotArea type="data" outline="0" fieldPosition="0">
        <references count="2">
          <reference field="4294967294" count="1" selected="0">
            <x v="0"/>
          </reference>
          <reference field="1" count="1" selected="0">
            <x v="10"/>
          </reference>
        </references>
      </pivotArea>
    </chartFormat>
  </chartFormats>
  <pivotTableStyleInfo name="PivotStyleLight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11E037-AC1A-413F-86F8-305DF649B72F}" name="PivotTable1" cacheId="1" applyNumberFormats="0" applyBorderFormats="0" applyFontFormats="0" applyPatternFormats="0" applyAlignmentFormats="0" applyWidthHeightFormats="1" dataCaption="Values" grandTotalCaption="Max for Period" updatedVersion="8" minRefreshableVersion="3" useAutoFormatting="1" rowGrandTotals="0" itemPrintTitles="1" createdVersion="6" indent="0" outline="1" outlineData="1" multipleFieldFilters="0" chartFormat="3" rowHeaderCaption="Hours" colHeaderCaption="Day">
  <location ref="A3:G28" firstHeaderRow="1" firstDataRow="2" firstDataCol="1"/>
  <pivotFields count="4">
    <pivotField numFmtId="22" showAll="0"/>
    <pivotField axis="axisCol" numFmtId="14" showAll="0" sortType="ascending">
      <items count="762">
        <item m="1" x="253"/>
        <item m="1" x="643"/>
        <item m="1" x="268"/>
        <item m="1" x="658"/>
        <item m="1" x="283"/>
        <item m="1" x="675"/>
        <item m="1" x="298"/>
        <item m="1" x="690"/>
        <item m="1" x="313"/>
        <item m="1" x="703"/>
        <item m="1" x="326"/>
        <item m="1" x="716"/>
        <item m="1" x="339"/>
        <item m="1" x="729"/>
        <item m="1" x="350"/>
        <item m="1" x="740"/>
        <item m="1" x="361"/>
        <item m="1" x="751"/>
        <item m="1" x="371"/>
        <item m="1" x="5"/>
        <item m="1" x="380"/>
        <item m="1" x="599"/>
        <item m="1" x="225"/>
        <item m="1" x="616"/>
        <item m="1" x="240"/>
        <item m="1" x="631"/>
        <item m="1" x="256"/>
        <item m="1" x="646"/>
        <item m="1" x="271"/>
        <item m="1" x="661"/>
        <item m="1" x="286"/>
        <item m="1" x="678"/>
        <item m="1" x="301"/>
        <item m="1" x="693"/>
        <item m="1" x="316"/>
        <item m="1" x="706"/>
        <item m="1" x="329"/>
        <item m="1" x="719"/>
        <item m="1" x="342"/>
        <item m="1" x="732"/>
        <item m="1" x="353"/>
        <item m="1" x="743"/>
        <item m="1" x="364"/>
        <item m="1" x="754"/>
        <item m="1" x="373"/>
        <item m="1" x="7"/>
        <item m="1" x="382"/>
        <item m="1" x="14"/>
        <item m="1" x="389"/>
        <item m="1" x="20"/>
        <item m="1" x="397"/>
        <item m="1" x="28"/>
        <item m="1" x="634"/>
        <item m="1" x="259"/>
        <item m="1" x="649"/>
        <item m="1" x="274"/>
        <item m="1" x="664"/>
        <item m="1" x="289"/>
        <item m="1" x="681"/>
        <item m="1" x="304"/>
        <item m="1" x="696"/>
        <item m="1" x="319"/>
        <item m="1" x="709"/>
        <item m="1" x="332"/>
        <item m="1" x="722"/>
        <item m="1" x="345"/>
        <item m="1" x="735"/>
        <item m="1" x="356"/>
        <item m="1" x="746"/>
        <item m="1" x="367"/>
        <item m="1" x="757"/>
        <item m="1" x="376"/>
        <item m="1" x="10"/>
        <item m="1" x="385"/>
        <item m="1" x="16"/>
        <item m="1" x="391"/>
        <item m="1" x="22"/>
        <item m="1" x="399"/>
        <item m="1" x="30"/>
        <item m="1" x="405"/>
        <item m="1" x="36"/>
        <item m="1" x="413"/>
        <item m="1" x="666"/>
        <item m="1" x="291"/>
        <item m="1" x="683"/>
        <item m="1" x="306"/>
        <item m="1" x="698"/>
        <item m="1" x="321"/>
        <item m="1" x="711"/>
        <item m="1" x="334"/>
        <item m="1" x="724"/>
        <item m="1" x="347"/>
        <item m="1" x="737"/>
        <item m="1" x="358"/>
        <item m="1" x="748"/>
        <item m="1" x="369"/>
        <item m="1" x="759"/>
        <item m="1" x="378"/>
        <item m="1" x="12"/>
        <item m="1" x="387"/>
        <item m="1" x="18"/>
        <item m="1" x="393"/>
        <item m="1" x="24"/>
        <item m="1" x="401"/>
        <item m="1" x="32"/>
        <item m="1" x="407"/>
        <item m="1" x="38"/>
        <item m="1" x="415"/>
        <item m="1" x="44"/>
        <item m="1" x="421"/>
        <item m="1" x="50"/>
        <item m="1" x="429"/>
        <item m="1" x="58"/>
        <item m="1" x="395"/>
        <item m="1" x="26"/>
        <item m="1" x="403"/>
        <item m="1" x="34"/>
        <item m="1" x="409"/>
        <item m="1" x="40"/>
        <item m="1" x="417"/>
        <item m="1" x="46"/>
        <item m="1" x="423"/>
        <item m="1" x="52"/>
        <item m="1" x="431"/>
        <item m="1" x="60"/>
        <item m="1" x="437"/>
        <item m="1" x="66"/>
        <item m="1" x="445"/>
        <item m="1" x="74"/>
        <item m="1" x="453"/>
        <item m="1" x="82"/>
        <item m="1" x="463"/>
        <item m="1" x="92"/>
        <item m="1" x="473"/>
        <item m="1" x="102"/>
        <item m="1" x="485"/>
        <item m="1" x="114"/>
        <item m="1" x="497"/>
        <item m="1" x="126"/>
        <item m="1" x="511"/>
        <item m="1" x="140"/>
        <item m="1" x="525"/>
        <item m="1" x="154"/>
        <item m="1" x="541"/>
        <item m="1" x="411"/>
        <item m="1" x="42"/>
        <item m="1" x="419"/>
        <item m="1" x="48"/>
        <item m="1" x="425"/>
        <item m="1" x="54"/>
        <item m="1" x="433"/>
        <item m="1" x="62"/>
        <item m="1" x="439"/>
        <item m="1" x="68"/>
        <item m="1" x="447"/>
        <item m="1" x="76"/>
        <item m="1" x="455"/>
        <item m="1" x="84"/>
        <item m="1" x="465"/>
        <item m="1" x="94"/>
        <item m="1" x="475"/>
        <item m="1" x="104"/>
        <item m="1" x="487"/>
        <item m="1" x="116"/>
        <item m="1" x="499"/>
        <item m="1" x="128"/>
        <item m="1" x="513"/>
        <item m="1" x="142"/>
        <item m="1" x="527"/>
        <item m="1" x="156"/>
        <item m="1" x="543"/>
        <item m="1" x="170"/>
        <item m="1" x="557"/>
        <item m="1" x="427"/>
        <item m="1" x="56"/>
        <item m="1" x="435"/>
        <item m="1" x="64"/>
        <item m="1" x="441"/>
        <item m="1" x="70"/>
        <item m="1" x="449"/>
        <item m="1" x="78"/>
        <item m="1" x="457"/>
        <item m="1" x="86"/>
        <item m="1" x="467"/>
        <item m="1" x="96"/>
        <item m="1" x="477"/>
        <item m="1" x="106"/>
        <item m="1" x="489"/>
        <item m="1" x="118"/>
        <item m="1" x="501"/>
        <item m="1" x="130"/>
        <item m="1" x="515"/>
        <item m="1" x="144"/>
        <item m="1" x="529"/>
        <item m="1" x="158"/>
        <item m="1" x="545"/>
        <item m="1" x="172"/>
        <item m="1" x="558"/>
        <item m="1" x="184"/>
        <item m="1" x="572"/>
        <item m="1" x="198"/>
        <item m="1" x="586"/>
        <item m="1" x="212"/>
        <item m="1" x="603"/>
        <item m="1" x="443"/>
        <item m="1" x="72"/>
        <item m="1" x="451"/>
        <item m="1" x="80"/>
        <item m="1" x="459"/>
        <item m="1" x="88"/>
        <item m="1" x="469"/>
        <item m="1" x="98"/>
        <item m="1" x="479"/>
        <item m="1" x="108"/>
        <item m="1" x="491"/>
        <item m="1" x="120"/>
        <item m="1" x="503"/>
        <item m="1" x="132"/>
        <item m="1" x="517"/>
        <item m="1" x="146"/>
        <item m="1" x="531"/>
        <item m="1" x="160"/>
        <item m="1" x="547"/>
        <item m="1" x="174"/>
        <item m="1" x="560"/>
        <item m="1" x="186"/>
        <item m="1" x="574"/>
        <item m="1" x="200"/>
        <item m="1" x="588"/>
        <item m="1" x="214"/>
        <item m="1" x="605"/>
        <item m="1" x="229"/>
        <item m="1" x="620"/>
        <item m="1" x="244"/>
        <item m="1" x="461"/>
        <item m="1" x="90"/>
        <item m="1" x="471"/>
        <item m="1" x="100"/>
        <item m="1" x="481"/>
        <item m="1" x="110"/>
        <item m="1" x="493"/>
        <item m="1" x="122"/>
        <item m="1" x="505"/>
        <item m="1" x="134"/>
        <item m="1" x="519"/>
        <item m="1" x="148"/>
        <item m="1" x="533"/>
        <item m="1" x="162"/>
        <item m="1" x="549"/>
        <item m="1" x="176"/>
        <item m="1" x="562"/>
        <item m="1" x="188"/>
        <item m="1" x="576"/>
        <item m="1" x="202"/>
        <item m="1" x="590"/>
        <item m="1" x="216"/>
        <item m="1" x="607"/>
        <item m="1" x="231"/>
        <item m="1" x="622"/>
        <item m="1" x="246"/>
        <item m="1" x="636"/>
        <item m="1" x="261"/>
        <item m="1" x="651"/>
        <item m="1" x="276"/>
        <item m="1" x="668"/>
        <item m="1" x="483"/>
        <item m="1" x="112"/>
        <item m="1" x="495"/>
        <item m="1" x="124"/>
        <item m="1" x="507"/>
        <item m="1" x="136"/>
        <item m="1" x="521"/>
        <item m="1" x="150"/>
        <item m="1" x="535"/>
        <item m="1" x="164"/>
        <item m="1" x="551"/>
        <item m="1" x="178"/>
        <item m="1" x="564"/>
        <item m="1" x="190"/>
        <item m="1" x="578"/>
        <item m="1" x="204"/>
        <item m="1" x="592"/>
        <item m="1" x="218"/>
        <item m="1" x="609"/>
        <item m="1" x="233"/>
        <item m="1" x="624"/>
        <item m="1" x="248"/>
        <item m="1" x="638"/>
        <item m="1" x="263"/>
        <item m="1" x="653"/>
        <item m="1" x="278"/>
        <item m="1" x="670"/>
        <item m="1" x="293"/>
        <item m="1" x="685"/>
        <item m="1" x="308"/>
        <item m="1" x="509"/>
        <item m="1" x="138"/>
        <item m="1" x="523"/>
        <item m="1" x="152"/>
        <item m="1" x="537"/>
        <item m="1" x="166"/>
        <item m="1" x="553"/>
        <item m="1" x="180"/>
        <item m="1" x="566"/>
        <item m="1" x="192"/>
        <item m="1" x="580"/>
        <item m="1" x="206"/>
        <item m="1" x="594"/>
        <item m="1" x="220"/>
        <item m="1" x="611"/>
        <item m="1" x="235"/>
        <item m="1" x="626"/>
        <item m="1" x="250"/>
        <item m="1" x="640"/>
        <item m="1" x="265"/>
        <item m="1" x="655"/>
        <item m="1" x="280"/>
        <item m="1" x="672"/>
        <item m="1" x="295"/>
        <item m="1" x="687"/>
        <item m="1" x="310"/>
        <item m="1" x="700"/>
        <item m="1" x="323"/>
        <item m="1" x="713"/>
        <item m="1" x="336"/>
        <item m="1" x="726"/>
        <item m="1" x="539"/>
        <item m="1" x="168"/>
        <item m="1" x="555"/>
        <item m="1" x="182"/>
        <item m="1" x="568"/>
        <item m="1" x="194"/>
        <item m="1" x="582"/>
        <item m="1" x="208"/>
        <item m="1" x="596"/>
        <item m="1" x="222"/>
        <item m="1" x="613"/>
        <item m="1" x="237"/>
        <item m="1" x="628"/>
        <item m="1" x="252"/>
        <item m="1" x="642"/>
        <item m="1" x="267"/>
        <item m="1" x="657"/>
        <item m="1" x="282"/>
        <item m="1" x="674"/>
        <item m="1" x="297"/>
        <item m="1" x="689"/>
        <item m="1" x="312"/>
        <item m="1" x="702"/>
        <item m="1" x="325"/>
        <item m="1" x="715"/>
        <item m="1" x="338"/>
        <item m="1" x="728"/>
        <item m="1" x="349"/>
        <item m="1" x="739"/>
        <item m="1" x="360"/>
        <item m="1" x="750"/>
        <item m="1" x="570"/>
        <item m="1" x="196"/>
        <item m="1" x="584"/>
        <item m="1" x="210"/>
        <item m="1" x="598"/>
        <item m="1" x="224"/>
        <item m="1" x="615"/>
        <item m="1" x="239"/>
        <item m="1" x="630"/>
        <item m="1" x="255"/>
        <item m="1" x="645"/>
        <item m="1" x="270"/>
        <item m="1" x="660"/>
        <item m="1" x="285"/>
        <item m="1" x="677"/>
        <item m="1" x="300"/>
        <item m="1" x="692"/>
        <item m="1" x="315"/>
        <item m="1" x="705"/>
        <item m="1" x="328"/>
        <item m="1" x="718"/>
        <item m="1" x="341"/>
        <item m="1" x="731"/>
        <item m="1" x="352"/>
        <item m="1" x="742"/>
        <item m="1" x="363"/>
        <item m="1" x="753"/>
        <item m="1" x="372"/>
        <item m="1" x="6"/>
        <item m="1" x="381"/>
        <item m="1" x="601"/>
        <item m="1" x="227"/>
        <item m="1" x="618"/>
        <item m="1" x="242"/>
        <item m="1" x="633"/>
        <item m="1" x="258"/>
        <item m="1" x="648"/>
        <item m="1" x="273"/>
        <item m="1" x="663"/>
        <item m="1" x="288"/>
        <item m="1" x="680"/>
        <item m="1" x="303"/>
        <item m="1" x="695"/>
        <item m="1" x="318"/>
        <item m="1" x="708"/>
        <item m="1" x="331"/>
        <item m="1" x="721"/>
        <item m="1" x="344"/>
        <item m="1" x="734"/>
        <item m="1" x="355"/>
        <item m="1" x="745"/>
        <item m="1" x="366"/>
        <item m="1" x="756"/>
        <item m="1" x="375"/>
        <item m="1" x="9"/>
        <item m="1" x="384"/>
        <item m="1" x="15"/>
        <item m="1" x="390"/>
        <item m="1" x="21"/>
        <item m="1" x="398"/>
        <item m="1" x="29"/>
        <item m="1" x="635"/>
        <item m="1" x="260"/>
        <item m="1" x="650"/>
        <item m="1" x="275"/>
        <item m="1" x="665"/>
        <item m="1" x="290"/>
        <item m="1" x="682"/>
        <item m="1" x="305"/>
        <item m="1" x="697"/>
        <item m="1" x="320"/>
        <item m="1" x="710"/>
        <item m="1" x="333"/>
        <item m="1" x="723"/>
        <item m="1" x="346"/>
        <item m="1" x="736"/>
        <item m="1" x="357"/>
        <item m="1" x="747"/>
        <item m="1" x="368"/>
        <item m="1" x="758"/>
        <item m="1" x="377"/>
        <item m="1" x="11"/>
        <item m="1" x="386"/>
        <item m="1" x="17"/>
        <item m="1" x="392"/>
        <item m="1" x="23"/>
        <item m="1" x="400"/>
        <item m="1" x="31"/>
        <item m="1" x="406"/>
        <item m="1" x="37"/>
        <item m="1" x="414"/>
        <item m="1" x="667"/>
        <item m="1" x="292"/>
        <item m="1" x="684"/>
        <item m="1" x="307"/>
        <item m="1" x="699"/>
        <item m="1" x="322"/>
        <item m="1" x="712"/>
        <item m="1" x="335"/>
        <item m="1" x="725"/>
        <item m="1" x="348"/>
        <item m="1" x="738"/>
        <item m="1" x="359"/>
        <item m="1" x="749"/>
        <item m="1" x="370"/>
        <item m="1" x="760"/>
        <item m="1" x="379"/>
        <item m="1" x="13"/>
        <item m="1" x="388"/>
        <item m="1" x="19"/>
        <item m="1" x="394"/>
        <item m="1" x="25"/>
        <item m="1" x="402"/>
        <item m="1" x="33"/>
        <item m="1" x="408"/>
        <item m="1" x="39"/>
        <item m="1" x="416"/>
        <item m="1" x="45"/>
        <item m="1" x="422"/>
        <item m="1" x="51"/>
        <item m="1" x="430"/>
        <item m="1" x="59"/>
        <item m="1" x="396"/>
        <item m="1" x="27"/>
        <item m="1" x="404"/>
        <item m="1" x="35"/>
        <item m="1" x="410"/>
        <item m="1" x="41"/>
        <item m="1" x="418"/>
        <item m="1" x="47"/>
        <item m="1" x="424"/>
        <item m="1" x="53"/>
        <item m="1" x="432"/>
        <item m="1" x="61"/>
        <item m="1" x="438"/>
        <item m="1" x="67"/>
        <item m="1" x="446"/>
        <item m="1" x="75"/>
        <item m="1" x="454"/>
        <item m="1" x="83"/>
        <item m="1" x="464"/>
        <item m="1" x="93"/>
        <item m="1" x="474"/>
        <item m="1" x="103"/>
        <item m="1" x="486"/>
        <item m="1" x="115"/>
        <item m="1" x="498"/>
        <item m="1" x="127"/>
        <item m="1" x="512"/>
        <item m="1" x="141"/>
        <item m="1" x="526"/>
        <item m="1" x="155"/>
        <item m="1" x="542"/>
        <item m="1" x="412"/>
        <item m="1" x="43"/>
        <item m="1" x="420"/>
        <item m="1" x="49"/>
        <item m="1" x="426"/>
        <item m="1" x="55"/>
        <item m="1" x="434"/>
        <item m="1" x="63"/>
        <item m="1" x="440"/>
        <item m="1" x="69"/>
        <item m="1" x="448"/>
        <item m="1" x="77"/>
        <item m="1" x="456"/>
        <item m="1" x="85"/>
        <item m="1" x="466"/>
        <item m="1" x="95"/>
        <item m="1" x="476"/>
        <item m="1" x="105"/>
        <item m="1" x="488"/>
        <item m="1" x="117"/>
        <item m="1" x="500"/>
        <item m="1" x="129"/>
        <item m="1" x="514"/>
        <item m="1" x="143"/>
        <item m="1" x="528"/>
        <item m="1" x="157"/>
        <item m="1" x="544"/>
        <item m="1" x="171"/>
        <item m="1" x="428"/>
        <item m="1" x="57"/>
        <item m="1" x="436"/>
        <item m="1" x="65"/>
        <item m="1" x="442"/>
        <item m="1" x="71"/>
        <item m="1" x="450"/>
        <item m="1" x="79"/>
        <item m="1" x="458"/>
        <item m="1" x="87"/>
        <item m="1" x="468"/>
        <item m="1" x="97"/>
        <item m="1" x="478"/>
        <item m="1" x="107"/>
        <item m="1" x="490"/>
        <item m="1" x="119"/>
        <item m="1" x="502"/>
        <item m="1" x="131"/>
        <item m="1" x="516"/>
        <item m="1" x="145"/>
        <item m="1" x="530"/>
        <item m="1" x="159"/>
        <item m="1" x="546"/>
        <item m="1" x="173"/>
        <item m="1" x="559"/>
        <item m="1" x="185"/>
        <item m="1" x="573"/>
        <item m="1" x="199"/>
        <item m="1" x="587"/>
        <item m="1" x="213"/>
        <item m="1" x="604"/>
        <item m="1" x="444"/>
        <item m="1" x="73"/>
        <item m="1" x="452"/>
        <item m="1" x="81"/>
        <item m="1" x="460"/>
        <item m="1" x="89"/>
        <item m="1" x="470"/>
        <item m="1" x="99"/>
        <item m="1" x="480"/>
        <item m="1" x="109"/>
        <item m="1" x="492"/>
        <item m="1" x="121"/>
        <item m="1" x="504"/>
        <item m="1" x="133"/>
        <item m="1" x="518"/>
        <item m="1" x="147"/>
        <item m="1" x="532"/>
        <item m="1" x="161"/>
        <item m="1" x="548"/>
        <item m="1" x="175"/>
        <item m="1" x="561"/>
        <item m="1" x="187"/>
        <item m="1" x="575"/>
        <item m="1" x="201"/>
        <item m="1" x="589"/>
        <item m="1" x="215"/>
        <item m="1" x="606"/>
        <item m="1" x="230"/>
        <item m="1" x="621"/>
        <item m="1" x="245"/>
        <item m="1" x="462"/>
        <item m="1" x="91"/>
        <item m="1" x="472"/>
        <item m="1" x="101"/>
        <item m="1" x="482"/>
        <item m="1" x="111"/>
        <item m="1" x="494"/>
        <item m="1" x="123"/>
        <item m="1" x="506"/>
        <item m="1" x="135"/>
        <item m="1" x="520"/>
        <item m="1" x="149"/>
        <item m="1" x="534"/>
        <item m="1" x="163"/>
        <item m="1" x="550"/>
        <item m="1" x="177"/>
        <item m="1" x="563"/>
        <item m="1" x="189"/>
        <item m="1" x="577"/>
        <item m="1" x="203"/>
        <item m="1" x="591"/>
        <item m="1" x="217"/>
        <item m="1" x="608"/>
        <item m="1" x="232"/>
        <item m="1" x="623"/>
        <item m="1" x="247"/>
        <item m="1" x="637"/>
        <item m="1" x="262"/>
        <item m="1" x="652"/>
        <item m="1" x="277"/>
        <item m="1" x="669"/>
        <item m="1" x="484"/>
        <item m="1" x="113"/>
        <item m="1" x="496"/>
        <item m="1" x="125"/>
        <item m="1" x="508"/>
        <item m="1" x="137"/>
        <item m="1" x="522"/>
        <item m="1" x="151"/>
        <item m="1" x="536"/>
        <item m="1" x="165"/>
        <item m="1" x="552"/>
        <item m="1" x="179"/>
        <item m="1" x="565"/>
        <item m="1" x="191"/>
        <item m="1" x="579"/>
        <item m="1" x="205"/>
        <item m="1" x="593"/>
        <item m="1" x="219"/>
        <item m="1" x="610"/>
        <item m="1" x="234"/>
        <item m="1" x="625"/>
        <item m="1" x="249"/>
        <item m="1" x="639"/>
        <item m="1" x="264"/>
        <item m="1" x="654"/>
        <item m="1" x="279"/>
        <item m="1" x="671"/>
        <item m="1" x="294"/>
        <item m="1" x="686"/>
        <item m="1" x="309"/>
        <item m="1" x="510"/>
        <item m="1" x="139"/>
        <item m="1" x="524"/>
        <item m="1" x="153"/>
        <item m="1" x="538"/>
        <item m="1" x="167"/>
        <item m="1" x="554"/>
        <item m="1" x="181"/>
        <item m="1" x="567"/>
        <item m="1" x="193"/>
        <item m="1" x="581"/>
        <item m="1" x="207"/>
        <item m="1" x="595"/>
        <item m="1" x="221"/>
        <item m="1" x="612"/>
        <item m="1" x="236"/>
        <item m="1" x="627"/>
        <item m="1" x="251"/>
        <item m="1" x="641"/>
        <item m="1" x="266"/>
        <item m="1" x="656"/>
        <item m="1" x="281"/>
        <item m="1" x="673"/>
        <item m="1" x="296"/>
        <item m="1" x="688"/>
        <item m="1" x="311"/>
        <item m="1" x="701"/>
        <item m="1" x="324"/>
        <item m="1" x="714"/>
        <item m="1" x="337"/>
        <item m="1" x="727"/>
        <item m="1" x="540"/>
        <item m="1" x="169"/>
        <item m="1" x="556"/>
        <item m="1" x="183"/>
        <item m="1" x="569"/>
        <item m="1" x="195"/>
        <item m="1" x="583"/>
        <item m="1" x="209"/>
        <item m="1" x="597"/>
        <item m="1" x="223"/>
        <item m="1" x="614"/>
        <item m="1" x="238"/>
        <item m="1" x="629"/>
        <item m="1" x="254"/>
        <item m="1" x="644"/>
        <item m="1" x="269"/>
        <item m="1" x="659"/>
        <item m="1" x="284"/>
        <item m="1" x="676"/>
        <item m="1" x="299"/>
        <item m="1" x="691"/>
        <item m="1" x="314"/>
        <item m="1" x="704"/>
        <item m="1" x="327"/>
        <item m="1" x="717"/>
        <item m="1" x="340"/>
        <item m="1" x="730"/>
        <item m="1" x="351"/>
        <item m="1" x="741"/>
        <item m="1" x="362"/>
        <item m="1" x="752"/>
        <item m="1" x="571"/>
        <item m="1" x="197"/>
        <item m="1" x="585"/>
        <item m="1" x="211"/>
        <item m="1" x="600"/>
        <item m="1" x="226"/>
        <item m="1" x="617"/>
        <item m="1" x="241"/>
        <item m="1" x="632"/>
        <item m="1" x="257"/>
        <item m="1" x="647"/>
        <item m="1" x="272"/>
        <item m="1" x="662"/>
        <item m="1" x="287"/>
        <item m="1" x="679"/>
        <item m="1" x="302"/>
        <item m="1" x="694"/>
        <item m="1" x="317"/>
        <item m="1" x="707"/>
        <item m="1" x="330"/>
        <item m="1" x="720"/>
        <item m="1" x="343"/>
        <item m="1" x="733"/>
        <item m="1" x="354"/>
        <item m="1" x="744"/>
        <item m="1" x="365"/>
        <item m="1" x="755"/>
        <item m="1" x="374"/>
        <item m="1" x="8"/>
        <item m="1" x="383"/>
        <item m="1" x="602"/>
        <item m="1" x="228"/>
        <item m="1" x="619"/>
        <item m="1" x="243"/>
        <item x="0"/>
        <item x="1"/>
        <item x="2"/>
        <item x="3"/>
        <item x="4"/>
        <item t="default"/>
      </items>
    </pivotField>
    <pivotField axis="axisRow" showAll="0">
      <items count="26">
        <item x="19"/>
        <item x="20"/>
        <item x="21"/>
        <item x="22"/>
        <item x="23"/>
        <item x="0"/>
        <item x="1"/>
        <item x="2"/>
        <item x="3"/>
        <item x="4"/>
        <item x="5"/>
        <item x="6"/>
        <item x="7"/>
        <item x="8"/>
        <item x="9"/>
        <item x="10"/>
        <item x="11"/>
        <item x="12"/>
        <item x="13"/>
        <item x="14"/>
        <item x="15"/>
        <item x="16"/>
        <item x="17"/>
        <item x="18"/>
        <item m="1" x="24"/>
        <item t="default"/>
      </items>
    </pivotField>
    <pivotField dataField="1" showAll="0"/>
  </pivotFields>
  <rowFields count="1">
    <field x="2"/>
  </rowFields>
  <rowItems count="24">
    <i>
      <x/>
    </i>
    <i>
      <x v="1"/>
    </i>
    <i>
      <x v="2"/>
    </i>
    <i>
      <x v="3"/>
    </i>
    <i>
      <x v="4"/>
    </i>
    <i>
      <x v="5"/>
    </i>
    <i>
      <x v="6"/>
    </i>
    <i>
      <x v="7"/>
    </i>
    <i>
      <x v="8"/>
    </i>
    <i>
      <x v="9"/>
    </i>
    <i>
      <x v="10"/>
    </i>
    <i>
      <x v="11"/>
    </i>
    <i>
      <x v="12"/>
    </i>
    <i>
      <x v="13"/>
    </i>
    <i>
      <x v="14"/>
    </i>
    <i>
      <x v="15"/>
    </i>
    <i>
      <x v="16"/>
    </i>
    <i>
      <x v="17"/>
    </i>
    <i>
      <x v="18"/>
    </i>
    <i>
      <x v="19"/>
    </i>
    <i>
      <x v="20"/>
    </i>
    <i>
      <x v="21"/>
    </i>
    <i>
      <x v="22"/>
    </i>
    <i>
      <x v="23"/>
    </i>
  </rowItems>
  <colFields count="1">
    <field x="1"/>
  </colFields>
  <colItems count="6">
    <i>
      <x v="756"/>
    </i>
    <i>
      <x v="757"/>
    </i>
    <i>
      <x v="758"/>
    </i>
    <i>
      <x v="759"/>
    </i>
    <i>
      <x v="760"/>
    </i>
    <i t="grand">
      <x/>
    </i>
  </colItems>
  <dataFields count="1">
    <dataField name="Max of ACTIVITY" fld="3" subtotal="max" baseField="2" baseItem="18" numFmtId="1"/>
  </dataFields>
  <formats count="11">
    <format dxfId="13">
      <pivotArea dataOnly="0" labelOnly="1" fieldPosition="0">
        <references count="1">
          <reference field="1" count="0"/>
        </references>
      </pivotArea>
    </format>
    <format dxfId="12">
      <pivotArea dataOnly="0" labelOnly="1" fieldPosition="0">
        <references count="1">
          <reference field="1" count="0"/>
        </references>
      </pivotArea>
    </format>
    <format dxfId="11">
      <pivotArea dataOnly="0" labelOnly="1" fieldPosition="0">
        <references count="1">
          <reference field="1" count="0"/>
        </references>
      </pivotArea>
    </format>
    <format dxfId="10">
      <pivotArea field="2" type="button" dataOnly="0" labelOnly="1" outline="0" axis="axisRow" fieldPosition="0"/>
    </format>
    <format dxfId="9">
      <pivotArea field="2" type="button" dataOnly="0" labelOnly="1" outline="0" axis="axisRow" fieldPosition="0"/>
    </format>
    <format dxfId="8">
      <pivotArea field="2" type="button" dataOnly="0" labelOnly="1" outline="0" axis="axisRow" fieldPosition="0"/>
    </format>
    <format dxfId="7">
      <pivotArea dataOnly="0" labelOnly="1" grandCol="1" outline="0" fieldPosition="0"/>
    </format>
    <format dxfId="6">
      <pivotArea outline="0" fieldPosition="0">
        <references count="1">
          <reference field="4294967294" count="1">
            <x v="0"/>
          </reference>
        </references>
      </pivotArea>
    </format>
    <format dxfId="5">
      <pivotArea dataOnly="0" labelOnly="1" fieldPosition="0">
        <references count="1">
          <reference field="1" count="0"/>
        </references>
      </pivotArea>
    </format>
    <format dxfId="4">
      <pivotArea dataOnly="0" labelOnly="1" grandCol="1" outline="0" fieldPosition="0"/>
    </format>
    <format dxfId="3">
      <pivotArea outline="0" collapsedLevelsAreSubtotals="1" fieldPosition="0"/>
    </format>
  </format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chartFormats count="735">
    <chartFormat chart="1" format="10" series="1">
      <pivotArea type="data" outline="0" fieldPosition="0">
        <references count="2">
          <reference field="4294967294" count="1" selected="0">
            <x v="0"/>
          </reference>
          <reference field="1" count="1" selected="0">
            <x v="0"/>
          </reference>
        </references>
      </pivotArea>
    </chartFormat>
    <chartFormat chart="1" format="11">
      <pivotArea type="data" outline="0" fieldPosition="0">
        <references count="3">
          <reference field="4294967294" count="1" selected="0">
            <x v="0"/>
          </reference>
          <reference field="1" count="1" selected="0">
            <x v="0"/>
          </reference>
          <reference field="2" count="1" selected="0">
            <x v="0"/>
          </reference>
        </references>
      </pivotArea>
    </chartFormat>
    <chartFormat chart="1" format="12">
      <pivotArea type="data" outline="0" fieldPosition="0">
        <references count="3">
          <reference field="4294967294" count="1" selected="0">
            <x v="0"/>
          </reference>
          <reference field="1" count="1" selected="0">
            <x v="0"/>
          </reference>
          <reference field="2" count="1" selected="0">
            <x v="1"/>
          </reference>
        </references>
      </pivotArea>
    </chartFormat>
    <chartFormat chart="1" format="13">
      <pivotArea type="data" outline="0" fieldPosition="0">
        <references count="3">
          <reference field="4294967294" count="1" selected="0">
            <x v="0"/>
          </reference>
          <reference field="1" count="1" selected="0">
            <x v="0"/>
          </reference>
          <reference field="2" count="1" selected="0">
            <x v="2"/>
          </reference>
        </references>
      </pivotArea>
    </chartFormat>
    <chartFormat chart="1" format="14">
      <pivotArea type="data" outline="0" fieldPosition="0">
        <references count="3">
          <reference field="4294967294" count="1" selected="0">
            <x v="0"/>
          </reference>
          <reference field="1" count="1" selected="0">
            <x v="0"/>
          </reference>
          <reference field="2" count="1" selected="0">
            <x v="3"/>
          </reference>
        </references>
      </pivotArea>
    </chartFormat>
    <chartFormat chart="1" format="15">
      <pivotArea type="data" outline="0" fieldPosition="0">
        <references count="3">
          <reference field="4294967294" count="1" selected="0">
            <x v="0"/>
          </reference>
          <reference field="1" count="1" selected="0">
            <x v="0"/>
          </reference>
          <reference field="2" count="1" selected="0">
            <x v="4"/>
          </reference>
        </references>
      </pivotArea>
    </chartFormat>
    <chartFormat chart="1" format="16">
      <pivotArea type="data" outline="0" fieldPosition="0">
        <references count="3">
          <reference field="4294967294" count="1" selected="0">
            <x v="0"/>
          </reference>
          <reference field="1" count="1" selected="0">
            <x v="0"/>
          </reference>
          <reference field="2" count="1" selected="0">
            <x v="5"/>
          </reference>
        </references>
      </pivotArea>
    </chartFormat>
    <chartFormat chart="1" format="17">
      <pivotArea type="data" outline="0" fieldPosition="0">
        <references count="3">
          <reference field="4294967294" count="1" selected="0">
            <x v="0"/>
          </reference>
          <reference field="1" count="1" selected="0">
            <x v="0"/>
          </reference>
          <reference field="2" count="1" selected="0">
            <x v="6"/>
          </reference>
        </references>
      </pivotArea>
    </chartFormat>
    <chartFormat chart="1" format="18">
      <pivotArea type="data" outline="0" fieldPosition="0">
        <references count="3">
          <reference field="4294967294" count="1" selected="0">
            <x v="0"/>
          </reference>
          <reference field="1" count="1" selected="0">
            <x v="0"/>
          </reference>
          <reference field="2" count="1" selected="0">
            <x v="7"/>
          </reference>
        </references>
      </pivotArea>
    </chartFormat>
    <chartFormat chart="1" format="19">
      <pivotArea type="data" outline="0" fieldPosition="0">
        <references count="3">
          <reference field="4294967294" count="1" selected="0">
            <x v="0"/>
          </reference>
          <reference field="1" count="1" selected="0">
            <x v="0"/>
          </reference>
          <reference field="2" count="1" selected="0">
            <x v="8"/>
          </reference>
        </references>
      </pivotArea>
    </chartFormat>
    <chartFormat chart="1" format="20">
      <pivotArea type="data" outline="0" fieldPosition="0">
        <references count="3">
          <reference field="4294967294" count="1" selected="0">
            <x v="0"/>
          </reference>
          <reference field="1" count="1" selected="0">
            <x v="0"/>
          </reference>
          <reference field="2" count="1" selected="0">
            <x v="9"/>
          </reference>
        </references>
      </pivotArea>
    </chartFormat>
    <chartFormat chart="1" format="21">
      <pivotArea type="data" outline="0" fieldPosition="0">
        <references count="3">
          <reference field="4294967294" count="1" selected="0">
            <x v="0"/>
          </reference>
          <reference field="1" count="1" selected="0">
            <x v="0"/>
          </reference>
          <reference field="2" count="1" selected="0">
            <x v="10"/>
          </reference>
        </references>
      </pivotArea>
    </chartFormat>
    <chartFormat chart="1" format="22">
      <pivotArea type="data" outline="0" fieldPosition="0">
        <references count="3">
          <reference field="4294967294" count="1" selected="0">
            <x v="0"/>
          </reference>
          <reference field="1" count="1" selected="0">
            <x v="0"/>
          </reference>
          <reference field="2" count="1" selected="0">
            <x v="11"/>
          </reference>
        </references>
      </pivotArea>
    </chartFormat>
    <chartFormat chart="1" format="23">
      <pivotArea type="data" outline="0" fieldPosition="0">
        <references count="3">
          <reference field="4294967294" count="1" selected="0">
            <x v="0"/>
          </reference>
          <reference field="1" count="1" selected="0">
            <x v="0"/>
          </reference>
          <reference field="2" count="1" selected="0">
            <x v="12"/>
          </reference>
        </references>
      </pivotArea>
    </chartFormat>
    <chartFormat chart="1" format="24">
      <pivotArea type="data" outline="0" fieldPosition="0">
        <references count="3">
          <reference field="4294967294" count="1" selected="0">
            <x v="0"/>
          </reference>
          <reference field="1" count="1" selected="0">
            <x v="0"/>
          </reference>
          <reference field="2" count="1" selected="0">
            <x v="13"/>
          </reference>
        </references>
      </pivotArea>
    </chartFormat>
    <chartFormat chart="1" format="25">
      <pivotArea type="data" outline="0" fieldPosition="0">
        <references count="3">
          <reference field="4294967294" count="1" selected="0">
            <x v="0"/>
          </reference>
          <reference field="1" count="1" selected="0">
            <x v="0"/>
          </reference>
          <reference field="2" count="1" selected="0">
            <x v="14"/>
          </reference>
        </references>
      </pivotArea>
    </chartFormat>
    <chartFormat chart="1" format="26" series="1">
      <pivotArea type="data" outline="0" fieldPosition="0">
        <references count="2">
          <reference field="4294967294" count="1" selected="0">
            <x v="0"/>
          </reference>
          <reference field="1" count="1" selected="0">
            <x v="1"/>
          </reference>
        </references>
      </pivotArea>
    </chartFormat>
    <chartFormat chart="1" format="27" series="1">
      <pivotArea type="data" outline="0" fieldPosition="0">
        <references count="2">
          <reference field="4294967294" count="1" selected="0">
            <x v="0"/>
          </reference>
          <reference field="1" count="1" selected="0">
            <x v="2"/>
          </reference>
        </references>
      </pivotArea>
    </chartFormat>
    <chartFormat chart="1" format="28" series="1">
      <pivotArea type="data" outline="0" fieldPosition="0">
        <references count="2">
          <reference field="4294967294" count="1" selected="0">
            <x v="0"/>
          </reference>
          <reference field="1" count="1" selected="0">
            <x v="3"/>
          </reference>
        </references>
      </pivotArea>
    </chartFormat>
    <chartFormat chart="1" format="29" series="1">
      <pivotArea type="data" outline="0" fieldPosition="0">
        <references count="2">
          <reference field="4294967294" count="1" selected="0">
            <x v="0"/>
          </reference>
          <reference field="1" count="1" selected="0">
            <x v="4"/>
          </reference>
        </references>
      </pivotArea>
    </chartFormat>
    <chartFormat chart="1" format="30" series="1">
      <pivotArea type="data" outline="0" fieldPosition="0">
        <references count="2">
          <reference field="4294967294" count="1" selected="0">
            <x v="0"/>
          </reference>
          <reference field="1" count="1" selected="0">
            <x v="5"/>
          </reference>
        </references>
      </pivotArea>
    </chartFormat>
    <chartFormat chart="1" format="31" series="1">
      <pivotArea type="data" outline="0" fieldPosition="0">
        <references count="2">
          <reference field="4294967294" count="1" selected="0">
            <x v="0"/>
          </reference>
          <reference field="1" count="1" selected="0">
            <x v="6"/>
          </reference>
        </references>
      </pivotArea>
    </chartFormat>
    <chartFormat chart="1" format="32" series="1">
      <pivotArea type="data" outline="0" fieldPosition="0">
        <references count="2">
          <reference field="4294967294" count="1" selected="0">
            <x v="0"/>
          </reference>
          <reference field="1" count="1" selected="0">
            <x v="7"/>
          </reference>
        </references>
      </pivotArea>
    </chartFormat>
    <chartFormat chart="1" format="33" series="1">
      <pivotArea type="data" outline="0" fieldPosition="0">
        <references count="2">
          <reference field="4294967294" count="1" selected="0">
            <x v="0"/>
          </reference>
          <reference field="1" count="1" selected="0">
            <x v="8"/>
          </reference>
        </references>
      </pivotArea>
    </chartFormat>
    <chartFormat chart="1" format="34" series="1">
      <pivotArea type="data" outline="0" fieldPosition="0">
        <references count="2">
          <reference field="4294967294" count="1" selected="0">
            <x v="0"/>
          </reference>
          <reference field="1" count="1" selected="0">
            <x v="9"/>
          </reference>
        </references>
      </pivotArea>
    </chartFormat>
    <chartFormat chart="2" format="35" series="1">
      <pivotArea type="data" outline="0" fieldPosition="0">
        <references count="2">
          <reference field="4294967294" count="1" selected="0">
            <x v="0"/>
          </reference>
          <reference field="1" count="1" selected="0">
            <x v="0"/>
          </reference>
        </references>
      </pivotArea>
    </chartFormat>
    <chartFormat chart="2" format="36">
      <pivotArea type="data" outline="0" fieldPosition="0">
        <references count="3">
          <reference field="4294967294" count="1" selected="0">
            <x v="0"/>
          </reference>
          <reference field="1" count="1" selected="0">
            <x v="0"/>
          </reference>
          <reference field="2" count="1" selected="0">
            <x v="0"/>
          </reference>
        </references>
      </pivotArea>
    </chartFormat>
    <chartFormat chart="2" format="37">
      <pivotArea type="data" outline="0" fieldPosition="0">
        <references count="3">
          <reference field="4294967294" count="1" selected="0">
            <x v="0"/>
          </reference>
          <reference field="1" count="1" selected="0">
            <x v="0"/>
          </reference>
          <reference field="2" count="1" selected="0">
            <x v="1"/>
          </reference>
        </references>
      </pivotArea>
    </chartFormat>
    <chartFormat chart="2" format="38">
      <pivotArea type="data" outline="0" fieldPosition="0">
        <references count="3">
          <reference field="4294967294" count="1" selected="0">
            <x v="0"/>
          </reference>
          <reference field="1" count="1" selected="0">
            <x v="0"/>
          </reference>
          <reference field="2" count="1" selected="0">
            <x v="2"/>
          </reference>
        </references>
      </pivotArea>
    </chartFormat>
    <chartFormat chart="2" format="39">
      <pivotArea type="data" outline="0" fieldPosition="0">
        <references count="3">
          <reference field="4294967294" count="1" selected="0">
            <x v="0"/>
          </reference>
          <reference field="1" count="1" selected="0">
            <x v="0"/>
          </reference>
          <reference field="2" count="1" selected="0">
            <x v="3"/>
          </reference>
        </references>
      </pivotArea>
    </chartFormat>
    <chartFormat chart="2" format="40">
      <pivotArea type="data" outline="0" fieldPosition="0">
        <references count="3">
          <reference field="4294967294" count="1" selected="0">
            <x v="0"/>
          </reference>
          <reference field="1" count="1" selected="0">
            <x v="0"/>
          </reference>
          <reference field="2" count="1" selected="0">
            <x v="4"/>
          </reference>
        </references>
      </pivotArea>
    </chartFormat>
    <chartFormat chart="2" format="41">
      <pivotArea type="data" outline="0" fieldPosition="0">
        <references count="3">
          <reference field="4294967294" count="1" selected="0">
            <x v="0"/>
          </reference>
          <reference field="1" count="1" selected="0">
            <x v="0"/>
          </reference>
          <reference field="2" count="1" selected="0">
            <x v="5"/>
          </reference>
        </references>
      </pivotArea>
    </chartFormat>
    <chartFormat chart="2" format="42">
      <pivotArea type="data" outline="0" fieldPosition="0">
        <references count="3">
          <reference field="4294967294" count="1" selected="0">
            <x v="0"/>
          </reference>
          <reference field="1" count="1" selected="0">
            <x v="0"/>
          </reference>
          <reference field="2" count="1" selected="0">
            <x v="6"/>
          </reference>
        </references>
      </pivotArea>
    </chartFormat>
    <chartFormat chart="2" format="43">
      <pivotArea type="data" outline="0" fieldPosition="0">
        <references count="3">
          <reference field="4294967294" count="1" selected="0">
            <x v="0"/>
          </reference>
          <reference field="1" count="1" selected="0">
            <x v="0"/>
          </reference>
          <reference field="2" count="1" selected="0">
            <x v="7"/>
          </reference>
        </references>
      </pivotArea>
    </chartFormat>
    <chartFormat chart="2" format="44">
      <pivotArea type="data" outline="0" fieldPosition="0">
        <references count="3">
          <reference field="4294967294" count="1" selected="0">
            <x v="0"/>
          </reference>
          <reference field="1" count="1" selected="0">
            <x v="0"/>
          </reference>
          <reference field="2" count="1" selected="0">
            <x v="8"/>
          </reference>
        </references>
      </pivotArea>
    </chartFormat>
    <chartFormat chart="2" format="45">
      <pivotArea type="data" outline="0" fieldPosition="0">
        <references count="3">
          <reference field="4294967294" count="1" selected="0">
            <x v="0"/>
          </reference>
          <reference field="1" count="1" selected="0">
            <x v="0"/>
          </reference>
          <reference field="2" count="1" selected="0">
            <x v="9"/>
          </reference>
        </references>
      </pivotArea>
    </chartFormat>
    <chartFormat chart="2" format="46">
      <pivotArea type="data" outline="0" fieldPosition="0">
        <references count="3">
          <reference field="4294967294" count="1" selected="0">
            <x v="0"/>
          </reference>
          <reference field="1" count="1" selected="0">
            <x v="0"/>
          </reference>
          <reference field="2" count="1" selected="0">
            <x v="10"/>
          </reference>
        </references>
      </pivotArea>
    </chartFormat>
    <chartFormat chart="2" format="47">
      <pivotArea type="data" outline="0" fieldPosition="0">
        <references count="3">
          <reference field="4294967294" count="1" selected="0">
            <x v="0"/>
          </reference>
          <reference field="1" count="1" selected="0">
            <x v="0"/>
          </reference>
          <reference field="2" count="1" selected="0">
            <x v="11"/>
          </reference>
        </references>
      </pivotArea>
    </chartFormat>
    <chartFormat chart="2" format="48">
      <pivotArea type="data" outline="0" fieldPosition="0">
        <references count="3">
          <reference field="4294967294" count="1" selected="0">
            <x v="0"/>
          </reference>
          <reference field="1" count="1" selected="0">
            <x v="0"/>
          </reference>
          <reference field="2" count="1" selected="0">
            <x v="12"/>
          </reference>
        </references>
      </pivotArea>
    </chartFormat>
    <chartFormat chart="2" format="49">
      <pivotArea type="data" outline="0" fieldPosition="0">
        <references count="3">
          <reference field="4294967294" count="1" selected="0">
            <x v="0"/>
          </reference>
          <reference field="1" count="1" selected="0">
            <x v="0"/>
          </reference>
          <reference field="2" count="1" selected="0">
            <x v="13"/>
          </reference>
        </references>
      </pivotArea>
    </chartFormat>
    <chartFormat chart="2" format="50">
      <pivotArea type="data" outline="0" fieldPosition="0">
        <references count="3">
          <reference field="4294967294" count="1" selected="0">
            <x v="0"/>
          </reference>
          <reference field="1" count="1" selected="0">
            <x v="0"/>
          </reference>
          <reference field="2" count="1" selected="0">
            <x v="14"/>
          </reference>
        </references>
      </pivotArea>
    </chartFormat>
    <chartFormat chart="2" format="51" series="1">
      <pivotArea type="data" outline="0" fieldPosition="0">
        <references count="2">
          <reference field="4294967294" count="1" selected="0">
            <x v="0"/>
          </reference>
          <reference field="1" count="1" selected="0">
            <x v="1"/>
          </reference>
        </references>
      </pivotArea>
    </chartFormat>
    <chartFormat chart="2" format="52" series="1">
      <pivotArea type="data" outline="0" fieldPosition="0">
        <references count="2">
          <reference field="4294967294" count="1" selected="0">
            <x v="0"/>
          </reference>
          <reference field="1" count="1" selected="0">
            <x v="2"/>
          </reference>
        </references>
      </pivotArea>
    </chartFormat>
    <chartFormat chart="2" format="53" series="1">
      <pivotArea type="data" outline="0" fieldPosition="0">
        <references count="2">
          <reference field="4294967294" count="1" selected="0">
            <x v="0"/>
          </reference>
          <reference field="1" count="1" selected="0">
            <x v="3"/>
          </reference>
        </references>
      </pivotArea>
    </chartFormat>
    <chartFormat chart="2" format="54" series="1">
      <pivotArea type="data" outline="0" fieldPosition="0">
        <references count="2">
          <reference field="4294967294" count="1" selected="0">
            <x v="0"/>
          </reference>
          <reference field="1" count="1" selected="0">
            <x v="4"/>
          </reference>
        </references>
      </pivotArea>
    </chartFormat>
    <chartFormat chart="2" format="55" series="1">
      <pivotArea type="data" outline="0" fieldPosition="0">
        <references count="2">
          <reference field="4294967294" count="1" selected="0">
            <x v="0"/>
          </reference>
          <reference field="1" count="1" selected="0">
            <x v="5"/>
          </reference>
        </references>
      </pivotArea>
    </chartFormat>
    <chartFormat chart="2" format="56" series="1">
      <pivotArea type="data" outline="0" fieldPosition="0">
        <references count="2">
          <reference field="4294967294" count="1" selected="0">
            <x v="0"/>
          </reference>
          <reference field="1" count="1" selected="0">
            <x v="6"/>
          </reference>
        </references>
      </pivotArea>
    </chartFormat>
    <chartFormat chart="2" format="57" series="1">
      <pivotArea type="data" outline="0" fieldPosition="0">
        <references count="2">
          <reference field="4294967294" count="1" selected="0">
            <x v="0"/>
          </reference>
          <reference field="1" count="1" selected="0">
            <x v="7"/>
          </reference>
        </references>
      </pivotArea>
    </chartFormat>
    <chartFormat chart="2" format="58" series="1">
      <pivotArea type="data" outline="0" fieldPosition="0">
        <references count="2">
          <reference field="4294967294" count="1" selected="0">
            <x v="0"/>
          </reference>
          <reference field="1" count="1" selected="0">
            <x v="8"/>
          </reference>
        </references>
      </pivotArea>
    </chartFormat>
    <chartFormat chart="2" format="59" series="1">
      <pivotArea type="data" outline="0" fieldPosition="0">
        <references count="2">
          <reference field="4294967294" count="1" selected="0">
            <x v="0"/>
          </reference>
          <reference field="1" count="1" selected="0">
            <x v="9"/>
          </reference>
        </references>
      </pivotArea>
    </chartFormat>
    <chartFormat chart="2" format="60" series="1">
      <pivotArea type="data" outline="0" fieldPosition="0">
        <references count="2">
          <reference field="4294967294" count="1" selected="0">
            <x v="0"/>
          </reference>
          <reference field="1" count="1" selected="0">
            <x v="10"/>
          </reference>
        </references>
      </pivotArea>
    </chartFormat>
    <chartFormat chart="2" format="61" series="1">
      <pivotArea type="data" outline="0" fieldPosition="0">
        <references count="2">
          <reference field="4294967294" count="1" selected="0">
            <x v="0"/>
          </reference>
          <reference field="1" count="1" selected="0">
            <x v="11"/>
          </reference>
        </references>
      </pivotArea>
    </chartFormat>
    <chartFormat chart="2" format="62" series="1">
      <pivotArea type="data" outline="0" fieldPosition="0">
        <references count="2">
          <reference field="4294967294" count="1" selected="0">
            <x v="0"/>
          </reference>
          <reference field="1" count="1" selected="0">
            <x v="12"/>
          </reference>
        </references>
      </pivotArea>
    </chartFormat>
    <chartFormat chart="2" format="63" series="1">
      <pivotArea type="data" outline="0" fieldPosition="0">
        <references count="2">
          <reference field="4294967294" count="1" selected="0">
            <x v="0"/>
          </reference>
          <reference field="1" count="1" selected="0">
            <x v="13"/>
          </reference>
        </references>
      </pivotArea>
    </chartFormat>
    <chartFormat chart="2" format="64">
      <pivotArea type="data" outline="0" fieldPosition="0">
        <references count="3">
          <reference field="4294967294" count="1" selected="0">
            <x v="0"/>
          </reference>
          <reference field="1" count="1" selected="0">
            <x v="9"/>
          </reference>
          <reference field="2" count="1" selected="0">
            <x v="17"/>
          </reference>
        </references>
      </pivotArea>
    </chartFormat>
    <chartFormat chart="2" format="65" series="1">
      <pivotArea type="data" outline="0" fieldPosition="0">
        <references count="2">
          <reference field="4294967294" count="1" selected="0">
            <x v="0"/>
          </reference>
          <reference field="1" count="1" selected="0">
            <x v="14"/>
          </reference>
        </references>
      </pivotArea>
    </chartFormat>
    <chartFormat chart="2" format="66" series="1">
      <pivotArea type="data" outline="0" fieldPosition="0">
        <references count="2">
          <reference field="4294967294" count="1" selected="0">
            <x v="0"/>
          </reference>
          <reference field="1" count="1" selected="0">
            <x v="15"/>
          </reference>
        </references>
      </pivotArea>
    </chartFormat>
    <chartFormat chart="2" format="72" series="1">
      <pivotArea type="data" outline="0" fieldPosition="0">
        <references count="2">
          <reference field="4294967294" count="1" selected="0">
            <x v="0"/>
          </reference>
          <reference field="1" count="1" selected="0">
            <x v="16"/>
          </reference>
        </references>
      </pivotArea>
    </chartFormat>
    <chartFormat chart="2" format="73" series="1">
      <pivotArea type="data" outline="0" fieldPosition="0">
        <references count="2">
          <reference field="4294967294" count="1" selected="0">
            <x v="0"/>
          </reference>
          <reference field="1" count="1" selected="0">
            <x v="17"/>
          </reference>
        </references>
      </pivotArea>
    </chartFormat>
    <chartFormat chart="2" format="74">
      <pivotArea type="data" outline="0" fieldPosition="0">
        <references count="3">
          <reference field="4294967294" count="1" selected="0">
            <x v="0"/>
          </reference>
          <reference field="1" count="1" selected="0">
            <x v="4"/>
          </reference>
          <reference field="2" count="1" selected="0">
            <x v="0"/>
          </reference>
        </references>
      </pivotArea>
    </chartFormat>
    <chartFormat chart="2" format="75">
      <pivotArea type="data" outline="0" fieldPosition="0">
        <references count="3">
          <reference field="4294967294" count="1" selected="0">
            <x v="0"/>
          </reference>
          <reference field="1" count="1" selected="0">
            <x v="4"/>
          </reference>
          <reference field="2" count="1" selected="0">
            <x v="1"/>
          </reference>
        </references>
      </pivotArea>
    </chartFormat>
    <chartFormat chart="2" format="76">
      <pivotArea type="data" outline="0" fieldPosition="0">
        <references count="3">
          <reference field="4294967294" count="1" selected="0">
            <x v="0"/>
          </reference>
          <reference field="1" count="1" selected="0">
            <x v="4"/>
          </reference>
          <reference field="2" count="1" selected="0">
            <x v="2"/>
          </reference>
        </references>
      </pivotArea>
    </chartFormat>
    <chartFormat chart="2" format="77">
      <pivotArea type="data" outline="0" fieldPosition="0">
        <references count="3">
          <reference field="4294967294" count="1" selected="0">
            <x v="0"/>
          </reference>
          <reference field="1" count="1" selected="0">
            <x v="4"/>
          </reference>
          <reference field="2" count="1" selected="0">
            <x v="3"/>
          </reference>
        </references>
      </pivotArea>
    </chartFormat>
    <chartFormat chart="2" format="78">
      <pivotArea type="data" outline="0" fieldPosition="0">
        <references count="3">
          <reference field="4294967294" count="1" selected="0">
            <x v="0"/>
          </reference>
          <reference field="1" count="1" selected="0">
            <x v="4"/>
          </reference>
          <reference field="2" count="1" selected="0">
            <x v="4"/>
          </reference>
        </references>
      </pivotArea>
    </chartFormat>
    <chartFormat chart="2" format="79">
      <pivotArea type="data" outline="0" fieldPosition="0">
        <references count="3">
          <reference field="4294967294" count="1" selected="0">
            <x v="0"/>
          </reference>
          <reference field="1" count="1" selected="0">
            <x v="4"/>
          </reference>
          <reference field="2" count="1" selected="0">
            <x v="5"/>
          </reference>
        </references>
      </pivotArea>
    </chartFormat>
    <chartFormat chart="2" format="80">
      <pivotArea type="data" outline="0" fieldPosition="0">
        <references count="3">
          <reference field="4294967294" count="1" selected="0">
            <x v="0"/>
          </reference>
          <reference field="1" count="1" selected="0">
            <x v="4"/>
          </reference>
          <reference field="2" count="1" selected="0">
            <x v="6"/>
          </reference>
        </references>
      </pivotArea>
    </chartFormat>
    <chartFormat chart="2" format="81">
      <pivotArea type="data" outline="0" fieldPosition="0">
        <references count="3">
          <reference field="4294967294" count="1" selected="0">
            <x v="0"/>
          </reference>
          <reference field="1" count="1" selected="0">
            <x v="4"/>
          </reference>
          <reference field="2" count="1" selected="0">
            <x v="7"/>
          </reference>
        </references>
      </pivotArea>
    </chartFormat>
    <chartFormat chart="2" format="82">
      <pivotArea type="data" outline="0" fieldPosition="0">
        <references count="3">
          <reference field="4294967294" count="1" selected="0">
            <x v="0"/>
          </reference>
          <reference field="1" count="1" selected="0">
            <x v="4"/>
          </reference>
          <reference field="2" count="1" selected="0">
            <x v="8"/>
          </reference>
        </references>
      </pivotArea>
    </chartFormat>
    <chartFormat chart="2" format="83">
      <pivotArea type="data" outline="0" fieldPosition="0">
        <references count="3">
          <reference field="4294967294" count="1" selected="0">
            <x v="0"/>
          </reference>
          <reference field="1" count="1" selected="0">
            <x v="4"/>
          </reference>
          <reference field="2" count="1" selected="0">
            <x v="9"/>
          </reference>
        </references>
      </pivotArea>
    </chartFormat>
    <chartFormat chart="2" format="84">
      <pivotArea type="data" outline="0" fieldPosition="0">
        <references count="3">
          <reference field="4294967294" count="1" selected="0">
            <x v="0"/>
          </reference>
          <reference field="1" count="1" selected="0">
            <x v="4"/>
          </reference>
          <reference field="2" count="1" selected="0">
            <x v="10"/>
          </reference>
        </references>
      </pivotArea>
    </chartFormat>
    <chartFormat chart="2" format="85">
      <pivotArea type="data" outline="0" fieldPosition="0">
        <references count="3">
          <reference field="4294967294" count="1" selected="0">
            <x v="0"/>
          </reference>
          <reference field="1" count="1" selected="0">
            <x v="4"/>
          </reference>
          <reference field="2" count="1" selected="0">
            <x v="11"/>
          </reference>
        </references>
      </pivotArea>
    </chartFormat>
    <chartFormat chart="2" format="86">
      <pivotArea type="data" outline="0" fieldPosition="0">
        <references count="3">
          <reference field="4294967294" count="1" selected="0">
            <x v="0"/>
          </reference>
          <reference field="1" count="1" selected="0">
            <x v="4"/>
          </reference>
          <reference field="2" count="1" selected="0">
            <x v="12"/>
          </reference>
        </references>
      </pivotArea>
    </chartFormat>
    <chartFormat chart="2" format="87">
      <pivotArea type="data" outline="0" fieldPosition="0">
        <references count="3">
          <reference field="4294967294" count="1" selected="0">
            <x v="0"/>
          </reference>
          <reference field="1" count="1" selected="0">
            <x v="4"/>
          </reference>
          <reference field="2" count="1" selected="0">
            <x v="13"/>
          </reference>
        </references>
      </pivotArea>
    </chartFormat>
    <chartFormat chart="2" format="88">
      <pivotArea type="data" outline="0" fieldPosition="0">
        <references count="3">
          <reference field="4294967294" count="1" selected="0">
            <x v="0"/>
          </reference>
          <reference field="1" count="1" selected="0">
            <x v="4"/>
          </reference>
          <reference field="2" count="1" selected="0">
            <x v="14"/>
          </reference>
        </references>
      </pivotArea>
    </chartFormat>
    <chartFormat chart="2" format="89" series="1">
      <pivotArea type="data" outline="0" fieldPosition="0">
        <references count="2">
          <reference field="4294967294" count="1" selected="0">
            <x v="0"/>
          </reference>
          <reference field="1" count="1" selected="0">
            <x v="18"/>
          </reference>
        </references>
      </pivotArea>
    </chartFormat>
    <chartFormat chart="2" format="90" series="1">
      <pivotArea type="data" outline="0" fieldPosition="0">
        <references count="2">
          <reference field="4294967294" count="1" selected="0">
            <x v="0"/>
          </reference>
          <reference field="1" count="1" selected="0">
            <x v="19"/>
          </reference>
        </references>
      </pivotArea>
    </chartFormat>
    <chartFormat chart="2" format="91" series="1">
      <pivotArea type="data" outline="0" fieldPosition="0">
        <references count="2">
          <reference field="4294967294" count="1" selected="0">
            <x v="0"/>
          </reference>
          <reference field="1" count="1" selected="0">
            <x v="20"/>
          </reference>
        </references>
      </pivotArea>
    </chartFormat>
    <chartFormat chart="2" format="92" series="1">
      <pivotArea type="data" outline="0" fieldPosition="0">
        <references count="2">
          <reference field="4294967294" count="1" selected="0">
            <x v="0"/>
          </reference>
          <reference field="1" count="1" selected="0">
            <x v="21"/>
          </reference>
        </references>
      </pivotArea>
    </chartFormat>
    <chartFormat chart="2" format="93" series="1">
      <pivotArea type="data" outline="0" fieldPosition="0">
        <references count="2">
          <reference field="4294967294" count="1" selected="0">
            <x v="0"/>
          </reference>
          <reference field="1" count="1" selected="0">
            <x v="22"/>
          </reference>
        </references>
      </pivotArea>
    </chartFormat>
    <chartFormat chart="2" format="94" series="1">
      <pivotArea type="data" outline="0" fieldPosition="0">
        <references count="2">
          <reference field="4294967294" count="1" selected="0">
            <x v="0"/>
          </reference>
          <reference field="1" count="1" selected="0">
            <x v="23"/>
          </reference>
        </references>
      </pivotArea>
    </chartFormat>
    <chartFormat chart="2" format="95" series="1">
      <pivotArea type="data" outline="0" fieldPosition="0">
        <references count="2">
          <reference field="4294967294" count="1" selected="0">
            <x v="0"/>
          </reference>
          <reference field="1" count="1" selected="0">
            <x v="24"/>
          </reference>
        </references>
      </pivotArea>
    </chartFormat>
    <chartFormat chart="2" format="96" series="1">
      <pivotArea type="data" outline="0" fieldPosition="0">
        <references count="2">
          <reference field="4294967294" count="1" selected="0">
            <x v="0"/>
          </reference>
          <reference field="1" count="1" selected="0">
            <x v="25"/>
          </reference>
        </references>
      </pivotArea>
    </chartFormat>
    <chartFormat chart="2" format="97" series="1">
      <pivotArea type="data" outline="0" fieldPosition="0">
        <references count="2">
          <reference field="4294967294" count="1" selected="0">
            <x v="0"/>
          </reference>
          <reference field="1" count="1" selected="0">
            <x v="26"/>
          </reference>
        </references>
      </pivotArea>
    </chartFormat>
    <chartFormat chart="2" format="98" series="1">
      <pivotArea type="data" outline="0" fieldPosition="0">
        <references count="2">
          <reference field="4294967294" count="1" selected="0">
            <x v="0"/>
          </reference>
          <reference field="1" count="1" selected="0">
            <x v="27"/>
          </reference>
        </references>
      </pivotArea>
    </chartFormat>
    <chartFormat chart="2" format="113" series="1">
      <pivotArea type="data" outline="0" fieldPosition="0">
        <references count="2">
          <reference field="4294967294" count="1" selected="0">
            <x v="0"/>
          </reference>
          <reference field="1" count="1" selected="0">
            <x v="28"/>
          </reference>
        </references>
      </pivotArea>
    </chartFormat>
    <chartFormat chart="2" format="114" series="1">
      <pivotArea type="data" outline="0" fieldPosition="0">
        <references count="2">
          <reference field="4294967294" count="1" selected="0">
            <x v="0"/>
          </reference>
          <reference field="1" count="1" selected="0">
            <x v="29"/>
          </reference>
        </references>
      </pivotArea>
    </chartFormat>
    <chartFormat chart="2" format="115" series="1">
      <pivotArea type="data" outline="0" fieldPosition="0">
        <references count="2">
          <reference field="4294967294" count="1" selected="0">
            <x v="0"/>
          </reference>
          <reference field="1" count="1" selected="0">
            <x v="30"/>
          </reference>
        </references>
      </pivotArea>
    </chartFormat>
    <chartFormat chart="2" format="116" series="1">
      <pivotArea type="data" outline="0" fieldPosition="0">
        <references count="2">
          <reference field="4294967294" count="1" selected="0">
            <x v="0"/>
          </reference>
          <reference field="1" count="1" selected="0">
            <x v="31"/>
          </reference>
        </references>
      </pivotArea>
    </chartFormat>
    <chartFormat chart="2" format="117" series="1">
      <pivotArea type="data" outline="0" fieldPosition="0">
        <references count="2">
          <reference field="4294967294" count="1" selected="0">
            <x v="0"/>
          </reference>
          <reference field="1" count="1" selected="0">
            <x v="32"/>
          </reference>
        </references>
      </pivotArea>
    </chartFormat>
    <chartFormat chart="2" format="118" series="1">
      <pivotArea type="data" outline="0" fieldPosition="0">
        <references count="2">
          <reference field="4294967294" count="1" selected="0">
            <x v="0"/>
          </reference>
          <reference field="1" count="1" selected="0">
            <x v="33"/>
          </reference>
        </references>
      </pivotArea>
    </chartFormat>
    <chartFormat chart="2" format="119" series="1">
      <pivotArea type="data" outline="0" fieldPosition="0">
        <references count="2">
          <reference field="4294967294" count="1" selected="0">
            <x v="0"/>
          </reference>
          <reference field="1" count="1" selected="0">
            <x v="34"/>
          </reference>
        </references>
      </pivotArea>
    </chartFormat>
    <chartFormat chart="2" format="120" series="1">
      <pivotArea type="data" outline="0" fieldPosition="0">
        <references count="2">
          <reference field="4294967294" count="1" selected="0">
            <x v="0"/>
          </reference>
          <reference field="1" count="1" selected="0">
            <x v="35"/>
          </reference>
        </references>
      </pivotArea>
    </chartFormat>
    <chartFormat chart="2" format="121" series="1">
      <pivotArea type="data" outline="0" fieldPosition="0">
        <references count="2">
          <reference field="4294967294" count="1" selected="0">
            <x v="0"/>
          </reference>
          <reference field="1" count="1" selected="0">
            <x v="36"/>
          </reference>
        </references>
      </pivotArea>
    </chartFormat>
    <chartFormat chart="2" format="122" series="1">
      <pivotArea type="data" outline="0" fieldPosition="0">
        <references count="2">
          <reference field="4294967294" count="1" selected="0">
            <x v="0"/>
          </reference>
          <reference field="1" count="1" selected="0">
            <x v="37"/>
          </reference>
        </references>
      </pivotArea>
    </chartFormat>
    <chartFormat chart="2" format="123" series="1">
      <pivotArea type="data" outline="0" fieldPosition="0">
        <references count="2">
          <reference field="4294967294" count="1" selected="0">
            <x v="0"/>
          </reference>
          <reference field="1" count="1" selected="0">
            <x v="38"/>
          </reference>
        </references>
      </pivotArea>
    </chartFormat>
    <chartFormat chart="2" format="124" series="1">
      <pivotArea type="data" outline="0" fieldPosition="0">
        <references count="2">
          <reference field="4294967294" count="1" selected="0">
            <x v="0"/>
          </reference>
          <reference field="1" count="1" selected="0">
            <x v="39"/>
          </reference>
        </references>
      </pivotArea>
    </chartFormat>
    <chartFormat chart="2" format="125" series="1">
      <pivotArea type="data" outline="0" fieldPosition="0">
        <references count="2">
          <reference field="4294967294" count="1" selected="0">
            <x v="0"/>
          </reference>
          <reference field="1" count="1" selected="0">
            <x v="40"/>
          </reference>
        </references>
      </pivotArea>
    </chartFormat>
    <chartFormat chart="2" format="126" series="1">
      <pivotArea type="data" outline="0" fieldPosition="0">
        <references count="2">
          <reference field="4294967294" count="1" selected="0">
            <x v="0"/>
          </reference>
          <reference field="1" count="1" selected="0">
            <x v="41"/>
          </reference>
        </references>
      </pivotArea>
    </chartFormat>
    <chartFormat chart="2" format="127" series="1">
      <pivotArea type="data" outline="0" fieldPosition="0">
        <references count="2">
          <reference field="4294967294" count="1" selected="0">
            <x v="0"/>
          </reference>
          <reference field="1" count="1" selected="0">
            <x v="42"/>
          </reference>
        </references>
      </pivotArea>
    </chartFormat>
    <chartFormat chart="2" format="128" series="1">
      <pivotArea type="data" outline="0" fieldPosition="0">
        <references count="2">
          <reference field="4294967294" count="1" selected="0">
            <x v="0"/>
          </reference>
          <reference field="1" count="1" selected="0">
            <x v="43"/>
          </reference>
        </references>
      </pivotArea>
    </chartFormat>
    <chartFormat chart="2" format="129" series="1">
      <pivotArea type="data" outline="0" fieldPosition="0">
        <references count="2">
          <reference field="4294967294" count="1" selected="0">
            <x v="0"/>
          </reference>
          <reference field="1" count="1" selected="0">
            <x v="44"/>
          </reference>
        </references>
      </pivotArea>
    </chartFormat>
    <chartFormat chart="2" format="130" series="1">
      <pivotArea type="data" outline="0" fieldPosition="0">
        <references count="2">
          <reference field="4294967294" count="1" selected="0">
            <x v="0"/>
          </reference>
          <reference field="1" count="1" selected="0">
            <x v="45"/>
          </reference>
        </references>
      </pivotArea>
    </chartFormat>
    <chartFormat chart="2" format="131" series="1">
      <pivotArea type="data" outline="0" fieldPosition="0">
        <references count="2">
          <reference field="4294967294" count="1" selected="0">
            <x v="0"/>
          </reference>
          <reference field="1" count="1" selected="0">
            <x v="46"/>
          </reference>
        </references>
      </pivotArea>
    </chartFormat>
    <chartFormat chart="2" format="132" series="1">
      <pivotArea type="data" outline="0" fieldPosition="0">
        <references count="2">
          <reference field="4294967294" count="1" selected="0">
            <x v="0"/>
          </reference>
          <reference field="1" count="1" selected="0">
            <x v="47"/>
          </reference>
        </references>
      </pivotArea>
    </chartFormat>
    <chartFormat chart="2" format="133" series="1">
      <pivotArea type="data" outline="0" fieldPosition="0">
        <references count="2">
          <reference field="4294967294" count="1" selected="0">
            <x v="0"/>
          </reference>
          <reference field="1" count="1" selected="0">
            <x v="48"/>
          </reference>
        </references>
      </pivotArea>
    </chartFormat>
    <chartFormat chart="2" format="134" series="1">
      <pivotArea type="data" outline="0" fieldPosition="0">
        <references count="2">
          <reference field="4294967294" count="1" selected="0">
            <x v="0"/>
          </reference>
          <reference field="1" count="1" selected="0">
            <x v="49"/>
          </reference>
        </references>
      </pivotArea>
    </chartFormat>
    <chartFormat chart="2" format="135" series="1">
      <pivotArea type="data" outline="0" fieldPosition="0">
        <references count="2">
          <reference field="4294967294" count="1" selected="0">
            <x v="0"/>
          </reference>
          <reference field="1" count="1" selected="0">
            <x v="50"/>
          </reference>
        </references>
      </pivotArea>
    </chartFormat>
    <chartFormat chart="2" format="136" series="1">
      <pivotArea type="data" outline="0" fieldPosition="0">
        <references count="2">
          <reference field="4294967294" count="1" selected="0">
            <x v="0"/>
          </reference>
          <reference field="1" count="1" selected="0">
            <x v="51"/>
          </reference>
        </references>
      </pivotArea>
    </chartFormat>
    <chartFormat chart="2" format="137" series="1">
      <pivotArea type="data" outline="0" fieldPosition="0">
        <references count="2">
          <reference field="4294967294" count="1" selected="0">
            <x v="0"/>
          </reference>
          <reference field="1" count="1" selected="0">
            <x v="52"/>
          </reference>
        </references>
      </pivotArea>
    </chartFormat>
    <chartFormat chart="2" format="138" series="1">
      <pivotArea type="data" outline="0" fieldPosition="0">
        <references count="2">
          <reference field="4294967294" count="1" selected="0">
            <x v="0"/>
          </reference>
          <reference field="1" count="1" selected="0">
            <x v="53"/>
          </reference>
        </references>
      </pivotArea>
    </chartFormat>
    <chartFormat chart="2" format="139" series="1">
      <pivotArea type="data" outline="0" fieldPosition="0">
        <references count="2">
          <reference field="4294967294" count="1" selected="0">
            <x v="0"/>
          </reference>
          <reference field="1" count="1" selected="0">
            <x v="54"/>
          </reference>
        </references>
      </pivotArea>
    </chartFormat>
    <chartFormat chart="2" format="140" series="1">
      <pivotArea type="data" outline="0" fieldPosition="0">
        <references count="2">
          <reference field="4294967294" count="1" selected="0">
            <x v="0"/>
          </reference>
          <reference field="1" count="1" selected="0">
            <x v="55"/>
          </reference>
        </references>
      </pivotArea>
    </chartFormat>
    <chartFormat chart="2" format="141" series="1">
      <pivotArea type="data" outline="0" fieldPosition="0">
        <references count="2">
          <reference field="4294967294" count="1" selected="0">
            <x v="0"/>
          </reference>
          <reference field="1" count="1" selected="0">
            <x v="56"/>
          </reference>
        </references>
      </pivotArea>
    </chartFormat>
    <chartFormat chart="2" format="142" series="1">
      <pivotArea type="data" outline="0" fieldPosition="0">
        <references count="2">
          <reference field="4294967294" count="1" selected="0">
            <x v="0"/>
          </reference>
          <reference field="1" count="1" selected="0">
            <x v="57"/>
          </reference>
        </references>
      </pivotArea>
    </chartFormat>
    <chartFormat chart="2" format="143" series="1">
      <pivotArea type="data" outline="0" fieldPosition="0">
        <references count="2">
          <reference field="4294967294" count="1" selected="0">
            <x v="0"/>
          </reference>
          <reference field="1" count="1" selected="0">
            <x v="58"/>
          </reference>
        </references>
      </pivotArea>
    </chartFormat>
    <chartFormat chart="2" format="144" series="1">
      <pivotArea type="data" outline="0" fieldPosition="0">
        <references count="2">
          <reference field="4294967294" count="1" selected="0">
            <x v="0"/>
          </reference>
          <reference field="1" count="1" selected="0">
            <x v="62"/>
          </reference>
        </references>
      </pivotArea>
    </chartFormat>
    <chartFormat chart="2" format="145" series="1">
      <pivotArea type="data" outline="0" fieldPosition="0">
        <references count="2">
          <reference field="4294967294" count="1" selected="0">
            <x v="0"/>
          </reference>
          <reference field="1" count="1" selected="0">
            <x v="63"/>
          </reference>
        </references>
      </pivotArea>
    </chartFormat>
    <chartFormat chart="2" format="146" series="1">
      <pivotArea type="data" outline="0" fieldPosition="0">
        <references count="2">
          <reference field="4294967294" count="1" selected="0">
            <x v="0"/>
          </reference>
          <reference field="1" count="1" selected="0">
            <x v="64"/>
          </reference>
        </references>
      </pivotArea>
    </chartFormat>
    <chartFormat chart="2" format="147" series="1">
      <pivotArea type="data" outline="0" fieldPosition="0">
        <references count="2">
          <reference field="4294967294" count="1" selected="0">
            <x v="0"/>
          </reference>
          <reference field="1" count="1" selected="0">
            <x v="65"/>
          </reference>
        </references>
      </pivotArea>
    </chartFormat>
    <chartFormat chart="2" format="148" series="1">
      <pivotArea type="data" outline="0" fieldPosition="0">
        <references count="2">
          <reference field="4294967294" count="1" selected="0">
            <x v="0"/>
          </reference>
          <reference field="1" count="1" selected="0">
            <x v="59"/>
          </reference>
        </references>
      </pivotArea>
    </chartFormat>
    <chartFormat chart="2" format="149" series="1">
      <pivotArea type="data" outline="0" fieldPosition="0">
        <references count="2">
          <reference field="4294967294" count="1" selected="0">
            <x v="0"/>
          </reference>
          <reference field="1" count="1" selected="0">
            <x v="60"/>
          </reference>
        </references>
      </pivotArea>
    </chartFormat>
    <chartFormat chart="2" format="150" series="1">
      <pivotArea type="data" outline="0" fieldPosition="0">
        <references count="2">
          <reference field="4294967294" count="1" selected="0">
            <x v="0"/>
          </reference>
          <reference field="1" count="1" selected="0">
            <x v="61"/>
          </reference>
        </references>
      </pivotArea>
    </chartFormat>
    <chartFormat chart="2" format="151" series="1">
      <pivotArea type="data" outline="0" fieldPosition="0">
        <references count="2">
          <reference field="4294967294" count="1" selected="0">
            <x v="0"/>
          </reference>
          <reference field="1" count="1" selected="0">
            <x v="66"/>
          </reference>
        </references>
      </pivotArea>
    </chartFormat>
    <chartFormat chart="2" format="152" series="1">
      <pivotArea type="data" outline="0" fieldPosition="0">
        <references count="2">
          <reference field="4294967294" count="1" selected="0">
            <x v="0"/>
          </reference>
          <reference field="1" count="1" selected="0">
            <x v="67"/>
          </reference>
        </references>
      </pivotArea>
    </chartFormat>
    <chartFormat chart="2" format="153" series="1">
      <pivotArea type="data" outline="0" fieldPosition="0">
        <references count="2">
          <reference field="4294967294" count="1" selected="0">
            <x v="0"/>
          </reference>
          <reference field="1" count="1" selected="0">
            <x v="68"/>
          </reference>
        </references>
      </pivotArea>
    </chartFormat>
    <chartFormat chart="2" format="154" series="1">
      <pivotArea type="data" outline="0" fieldPosition="0">
        <references count="2">
          <reference field="4294967294" count="1" selected="0">
            <x v="0"/>
          </reference>
          <reference field="1" count="1" selected="0">
            <x v="69"/>
          </reference>
        </references>
      </pivotArea>
    </chartFormat>
    <chartFormat chart="2" format="155" series="1">
      <pivotArea type="data" outline="0" fieldPosition="0">
        <references count="2">
          <reference field="4294967294" count="1" selected="0">
            <x v="0"/>
          </reference>
          <reference field="1" count="1" selected="0">
            <x v="70"/>
          </reference>
        </references>
      </pivotArea>
    </chartFormat>
    <chartFormat chart="2" format="156" series="1">
      <pivotArea type="data" outline="0" fieldPosition="0">
        <references count="2">
          <reference field="4294967294" count="1" selected="0">
            <x v="0"/>
          </reference>
          <reference field="1" count="1" selected="0">
            <x v="71"/>
          </reference>
        </references>
      </pivotArea>
    </chartFormat>
    <chartFormat chart="2" format="157" series="1">
      <pivotArea type="data" outline="0" fieldPosition="0">
        <references count="2">
          <reference field="4294967294" count="1" selected="0">
            <x v="0"/>
          </reference>
          <reference field="1" count="1" selected="0">
            <x v="72"/>
          </reference>
        </references>
      </pivotArea>
    </chartFormat>
    <chartFormat chart="2" format="158" series="1">
      <pivotArea type="data" outline="0" fieldPosition="0">
        <references count="2">
          <reference field="4294967294" count="1" selected="0">
            <x v="0"/>
          </reference>
          <reference field="1" count="1" selected="0">
            <x v="73"/>
          </reference>
        </references>
      </pivotArea>
    </chartFormat>
    <chartFormat chart="2" format="159" series="1">
      <pivotArea type="data" outline="0" fieldPosition="0">
        <references count="2">
          <reference field="4294967294" count="1" selected="0">
            <x v="0"/>
          </reference>
          <reference field="1" count="1" selected="0">
            <x v="74"/>
          </reference>
        </references>
      </pivotArea>
    </chartFormat>
    <chartFormat chart="2" format="160" series="1">
      <pivotArea type="data" outline="0" fieldPosition="0">
        <references count="2">
          <reference field="4294967294" count="1" selected="0">
            <x v="0"/>
          </reference>
          <reference field="1" count="1" selected="0">
            <x v="75"/>
          </reference>
        </references>
      </pivotArea>
    </chartFormat>
    <chartFormat chart="2" format="161" series="1">
      <pivotArea type="data" outline="0" fieldPosition="0">
        <references count="2">
          <reference field="4294967294" count="1" selected="0">
            <x v="0"/>
          </reference>
          <reference field="1" count="1" selected="0">
            <x v="76"/>
          </reference>
        </references>
      </pivotArea>
    </chartFormat>
    <chartFormat chart="2" format="162" series="1">
      <pivotArea type="data" outline="0" fieldPosition="0">
        <references count="2">
          <reference field="4294967294" count="1" selected="0">
            <x v="0"/>
          </reference>
          <reference field="1" count="1" selected="0">
            <x v="77"/>
          </reference>
        </references>
      </pivotArea>
    </chartFormat>
    <chartFormat chart="2" format="163" series="1">
      <pivotArea type="data" outline="0" fieldPosition="0">
        <references count="2">
          <reference field="4294967294" count="1" selected="0">
            <x v="0"/>
          </reference>
          <reference field="1" count="1" selected="0">
            <x v="81"/>
          </reference>
        </references>
      </pivotArea>
    </chartFormat>
    <chartFormat chart="2" format="164" series="1">
      <pivotArea type="data" outline="0" fieldPosition="0">
        <references count="2">
          <reference field="4294967294" count="1" selected="0">
            <x v="0"/>
          </reference>
          <reference field="1" count="1" selected="0">
            <x v="82"/>
          </reference>
        </references>
      </pivotArea>
    </chartFormat>
    <chartFormat chart="2" format="165" series="1">
      <pivotArea type="data" outline="0" fieldPosition="0">
        <references count="2">
          <reference field="4294967294" count="1" selected="0">
            <x v="0"/>
          </reference>
          <reference field="1" count="1" selected="0">
            <x v="83"/>
          </reference>
        </references>
      </pivotArea>
    </chartFormat>
    <chartFormat chart="2" format="166" series="1">
      <pivotArea type="data" outline="0" fieldPosition="0">
        <references count="2">
          <reference field="4294967294" count="1" selected="0">
            <x v="0"/>
          </reference>
          <reference field="1" count="1" selected="0">
            <x v="78"/>
          </reference>
        </references>
      </pivotArea>
    </chartFormat>
    <chartFormat chart="2" format="167" series="1">
      <pivotArea type="data" outline="0" fieldPosition="0">
        <references count="2">
          <reference field="4294967294" count="1" selected="0">
            <x v="0"/>
          </reference>
          <reference field="1" count="1" selected="0">
            <x v="79"/>
          </reference>
        </references>
      </pivotArea>
    </chartFormat>
    <chartFormat chart="2" format="168" series="1">
      <pivotArea type="data" outline="0" fieldPosition="0">
        <references count="2">
          <reference field="4294967294" count="1" selected="0">
            <x v="0"/>
          </reference>
          <reference field="1" count="1" selected="0">
            <x v="80"/>
          </reference>
        </references>
      </pivotArea>
    </chartFormat>
    <chartFormat chart="2" format="169" series="1">
      <pivotArea type="data" outline="0" fieldPosition="0">
        <references count="2">
          <reference field="4294967294" count="1" selected="0">
            <x v="0"/>
          </reference>
          <reference field="1" count="1" selected="0">
            <x v="84"/>
          </reference>
        </references>
      </pivotArea>
    </chartFormat>
    <chartFormat chart="2" format="170" series="1">
      <pivotArea type="data" outline="0" fieldPosition="0">
        <references count="2">
          <reference field="4294967294" count="1" selected="0">
            <x v="0"/>
          </reference>
          <reference field="1" count="1" selected="0">
            <x v="85"/>
          </reference>
        </references>
      </pivotArea>
    </chartFormat>
    <chartFormat chart="2" format="171" series="1">
      <pivotArea type="data" outline="0" fieldPosition="0">
        <references count="2">
          <reference field="4294967294" count="1" selected="0">
            <x v="0"/>
          </reference>
          <reference field="1" count="1" selected="0">
            <x v="86"/>
          </reference>
        </references>
      </pivotArea>
    </chartFormat>
    <chartFormat chart="2" format="172" series="1">
      <pivotArea type="data" outline="0" fieldPosition="0">
        <references count="2">
          <reference field="4294967294" count="1" selected="0">
            <x v="0"/>
          </reference>
          <reference field="1" count="1" selected="0">
            <x v="90"/>
          </reference>
        </references>
      </pivotArea>
    </chartFormat>
    <chartFormat chart="2" format="173" series="1">
      <pivotArea type="data" outline="0" fieldPosition="0">
        <references count="2">
          <reference field="4294967294" count="1" selected="0">
            <x v="0"/>
          </reference>
          <reference field="1" count="1" selected="0">
            <x v="91"/>
          </reference>
        </references>
      </pivotArea>
    </chartFormat>
    <chartFormat chart="2" format="174" series="1">
      <pivotArea type="data" outline="0" fieldPosition="0">
        <references count="2">
          <reference field="4294967294" count="1" selected="0">
            <x v="0"/>
          </reference>
          <reference field="1" count="1" selected="0">
            <x v="92"/>
          </reference>
        </references>
      </pivotArea>
    </chartFormat>
    <chartFormat chart="2" format="175" series="1">
      <pivotArea type="data" outline="0" fieldPosition="0">
        <references count="2">
          <reference field="4294967294" count="1" selected="0">
            <x v="0"/>
          </reference>
          <reference field="1" count="1" selected="0">
            <x v="87"/>
          </reference>
        </references>
      </pivotArea>
    </chartFormat>
    <chartFormat chart="2" format="176" series="1">
      <pivotArea type="data" outline="0" fieldPosition="0">
        <references count="2">
          <reference field="4294967294" count="1" selected="0">
            <x v="0"/>
          </reference>
          <reference field="1" count="1" selected="0">
            <x v="88"/>
          </reference>
        </references>
      </pivotArea>
    </chartFormat>
    <chartFormat chart="2" format="177" series="1">
      <pivotArea type="data" outline="0" fieldPosition="0">
        <references count="2">
          <reference field="4294967294" count="1" selected="0">
            <x v="0"/>
          </reference>
          <reference field="1" count="1" selected="0">
            <x v="89"/>
          </reference>
        </references>
      </pivotArea>
    </chartFormat>
    <chartFormat chart="2" format="178" series="1">
      <pivotArea type="data" outline="0" fieldPosition="0">
        <references count="2">
          <reference field="4294967294" count="1" selected="0">
            <x v="0"/>
          </reference>
          <reference field="1" count="1" selected="0">
            <x v="93"/>
          </reference>
        </references>
      </pivotArea>
    </chartFormat>
    <chartFormat chart="2" format="179" series="1">
      <pivotArea type="data" outline="0" fieldPosition="0">
        <references count="2">
          <reference field="4294967294" count="1" selected="0">
            <x v="0"/>
          </reference>
          <reference field="1" count="1" selected="0">
            <x v="94"/>
          </reference>
        </references>
      </pivotArea>
    </chartFormat>
    <chartFormat chart="2" format="180" series="1">
      <pivotArea type="data" outline="0" fieldPosition="0">
        <references count="2">
          <reference field="4294967294" count="1" selected="0">
            <x v="0"/>
          </reference>
          <reference field="1" count="1" selected="0">
            <x v="95"/>
          </reference>
        </references>
      </pivotArea>
    </chartFormat>
    <chartFormat chart="2" format="181" series="1">
      <pivotArea type="data" outline="0" fieldPosition="0">
        <references count="2">
          <reference field="4294967294" count="1" selected="0">
            <x v="0"/>
          </reference>
          <reference field="1" count="1" selected="0">
            <x v="96"/>
          </reference>
        </references>
      </pivotArea>
    </chartFormat>
    <chartFormat chart="2" format="182" series="1">
      <pivotArea type="data" outline="0" fieldPosition="0">
        <references count="2">
          <reference field="4294967294" count="1" selected="0">
            <x v="0"/>
          </reference>
          <reference field="1" count="1" selected="0">
            <x v="97"/>
          </reference>
        </references>
      </pivotArea>
    </chartFormat>
    <chartFormat chart="2" format="183" series="1">
      <pivotArea type="data" outline="0" fieldPosition="0">
        <references count="2">
          <reference field="4294967294" count="1" selected="0">
            <x v="0"/>
          </reference>
          <reference field="1" count="1" selected="0">
            <x v="101"/>
          </reference>
        </references>
      </pivotArea>
    </chartFormat>
    <chartFormat chart="2" format="184" series="1">
      <pivotArea type="data" outline="0" fieldPosition="0">
        <references count="2">
          <reference field="4294967294" count="1" selected="0">
            <x v="0"/>
          </reference>
          <reference field="1" count="1" selected="0">
            <x v="102"/>
          </reference>
        </references>
      </pivotArea>
    </chartFormat>
    <chartFormat chart="2" format="185" series="1">
      <pivotArea type="data" outline="0" fieldPosition="0">
        <references count="2">
          <reference field="4294967294" count="1" selected="0">
            <x v="0"/>
          </reference>
          <reference field="1" count="1" selected="0">
            <x v="103"/>
          </reference>
        </references>
      </pivotArea>
    </chartFormat>
    <chartFormat chart="2" format="186" series="1">
      <pivotArea type="data" outline="0" fieldPosition="0">
        <references count="2">
          <reference field="4294967294" count="1" selected="0">
            <x v="0"/>
          </reference>
          <reference field="1" count="1" selected="0">
            <x v="104"/>
          </reference>
        </references>
      </pivotArea>
    </chartFormat>
    <chartFormat chart="2" format="187" series="1">
      <pivotArea type="data" outline="0" fieldPosition="0">
        <references count="2">
          <reference field="4294967294" count="1" selected="0">
            <x v="0"/>
          </reference>
          <reference field="1" count="1" selected="0">
            <x v="98"/>
          </reference>
        </references>
      </pivotArea>
    </chartFormat>
    <chartFormat chart="2" format="188" series="1">
      <pivotArea type="data" outline="0" fieldPosition="0">
        <references count="2">
          <reference field="4294967294" count="1" selected="0">
            <x v="0"/>
          </reference>
          <reference field="1" count="1" selected="0">
            <x v="99"/>
          </reference>
        </references>
      </pivotArea>
    </chartFormat>
    <chartFormat chart="2" format="189" series="1">
      <pivotArea type="data" outline="0" fieldPosition="0">
        <references count="2">
          <reference field="4294967294" count="1" selected="0">
            <x v="0"/>
          </reference>
          <reference field="1" count="1" selected="0">
            <x v="100"/>
          </reference>
        </references>
      </pivotArea>
    </chartFormat>
    <chartFormat chart="2" format="190" series="1">
      <pivotArea type="data" outline="0" fieldPosition="0">
        <references count="2">
          <reference field="4294967294" count="1" selected="0">
            <x v="0"/>
          </reference>
          <reference field="1" count="1" selected="0">
            <x v="108"/>
          </reference>
        </references>
      </pivotArea>
    </chartFormat>
    <chartFormat chart="2" format="191" series="1">
      <pivotArea type="data" outline="0" fieldPosition="0">
        <references count="2">
          <reference field="4294967294" count="1" selected="0">
            <x v="0"/>
          </reference>
          <reference field="1" count="1" selected="0">
            <x v="109"/>
          </reference>
        </references>
      </pivotArea>
    </chartFormat>
    <chartFormat chart="2" format="192" series="1">
      <pivotArea type="data" outline="0" fieldPosition="0">
        <references count="2">
          <reference field="4294967294" count="1" selected="0">
            <x v="0"/>
          </reference>
          <reference field="1" count="1" selected="0">
            <x v="110"/>
          </reference>
        </references>
      </pivotArea>
    </chartFormat>
    <chartFormat chart="2" format="193" series="1">
      <pivotArea type="data" outline="0" fieldPosition="0">
        <references count="2">
          <reference field="4294967294" count="1" selected="0">
            <x v="0"/>
          </reference>
          <reference field="1" count="1" selected="0">
            <x v="111"/>
          </reference>
        </references>
      </pivotArea>
    </chartFormat>
    <chartFormat chart="2" format="194" series="1">
      <pivotArea type="data" outline="0" fieldPosition="0">
        <references count="2">
          <reference field="4294967294" count="1" selected="0">
            <x v="0"/>
          </reference>
          <reference field="1" count="1" selected="0">
            <x v="112"/>
          </reference>
        </references>
      </pivotArea>
    </chartFormat>
    <chartFormat chart="2" format="195" series="1">
      <pivotArea type="data" outline="0" fieldPosition="0">
        <references count="2">
          <reference field="4294967294" count="1" selected="0">
            <x v="0"/>
          </reference>
          <reference field="1" count="1" selected="0">
            <x v="113"/>
          </reference>
        </references>
      </pivotArea>
    </chartFormat>
    <chartFormat chart="2" format="196" series="1">
      <pivotArea type="data" outline="0" fieldPosition="0">
        <references count="2">
          <reference field="4294967294" count="1" selected="0">
            <x v="0"/>
          </reference>
          <reference field="1" count="1" selected="0">
            <x v="114"/>
          </reference>
        </references>
      </pivotArea>
    </chartFormat>
    <chartFormat chart="2" format="197" series="1">
      <pivotArea type="data" outline="0" fieldPosition="0">
        <references count="2">
          <reference field="4294967294" count="1" selected="0">
            <x v="0"/>
          </reference>
          <reference field="1" count="1" selected="0">
            <x v="105"/>
          </reference>
        </references>
      </pivotArea>
    </chartFormat>
    <chartFormat chart="2" format="198" series="1">
      <pivotArea type="data" outline="0" fieldPosition="0">
        <references count="2">
          <reference field="4294967294" count="1" selected="0">
            <x v="0"/>
          </reference>
          <reference field="1" count="1" selected="0">
            <x v="106"/>
          </reference>
        </references>
      </pivotArea>
    </chartFormat>
    <chartFormat chart="2" format="199" series="1">
      <pivotArea type="data" outline="0" fieldPosition="0">
        <references count="2">
          <reference field="4294967294" count="1" selected="0">
            <x v="0"/>
          </reference>
          <reference field="1" count="1" selected="0">
            <x v="107"/>
          </reference>
        </references>
      </pivotArea>
    </chartFormat>
    <chartFormat chart="2" format="200" series="1">
      <pivotArea type="data" outline="0" fieldPosition="0">
        <references count="2">
          <reference field="4294967294" count="1" selected="0">
            <x v="0"/>
          </reference>
          <reference field="1" count="1" selected="0">
            <x v="118"/>
          </reference>
        </references>
      </pivotArea>
    </chartFormat>
    <chartFormat chart="2" format="201" series="1">
      <pivotArea type="data" outline="0" fieldPosition="0">
        <references count="2">
          <reference field="4294967294" count="1" selected="0">
            <x v="0"/>
          </reference>
          <reference field="1" count="1" selected="0">
            <x v="119"/>
          </reference>
        </references>
      </pivotArea>
    </chartFormat>
    <chartFormat chart="2" format="202" series="1">
      <pivotArea type="data" outline="0" fieldPosition="0">
        <references count="2">
          <reference field="4294967294" count="1" selected="0">
            <x v="0"/>
          </reference>
          <reference field="1" count="1" selected="0">
            <x v="115"/>
          </reference>
        </references>
      </pivotArea>
    </chartFormat>
    <chartFormat chart="2" format="203" series="1">
      <pivotArea type="data" outline="0" fieldPosition="0">
        <references count="2">
          <reference field="4294967294" count="1" selected="0">
            <x v="0"/>
          </reference>
          <reference field="1" count="1" selected="0">
            <x v="116"/>
          </reference>
        </references>
      </pivotArea>
    </chartFormat>
    <chartFormat chart="2" format="204" series="1">
      <pivotArea type="data" outline="0" fieldPosition="0">
        <references count="2">
          <reference field="4294967294" count="1" selected="0">
            <x v="0"/>
          </reference>
          <reference field="1" count="1" selected="0">
            <x v="117"/>
          </reference>
        </references>
      </pivotArea>
    </chartFormat>
    <chartFormat chart="2" format="205" series="1">
      <pivotArea type="data" outline="0" fieldPosition="0">
        <references count="2">
          <reference field="4294967294" count="1" selected="0">
            <x v="0"/>
          </reference>
          <reference field="1" count="1" selected="0">
            <x v="120"/>
          </reference>
        </references>
      </pivotArea>
    </chartFormat>
    <chartFormat chart="2" format="206" series="1">
      <pivotArea type="data" outline="0" fieldPosition="0">
        <references count="2">
          <reference field="4294967294" count="1" selected="0">
            <x v="0"/>
          </reference>
          <reference field="1" count="1" selected="0">
            <x v="121"/>
          </reference>
        </references>
      </pivotArea>
    </chartFormat>
    <chartFormat chart="2" format="207" series="1">
      <pivotArea type="data" outline="0" fieldPosition="0">
        <references count="2">
          <reference field="4294967294" count="1" selected="0">
            <x v="0"/>
          </reference>
          <reference field="1" count="1" selected="0">
            <x v="122"/>
          </reference>
        </references>
      </pivotArea>
    </chartFormat>
    <chartFormat chart="2" format="208" series="1">
      <pivotArea type="data" outline="0" fieldPosition="0">
        <references count="2">
          <reference field="4294967294" count="1" selected="0">
            <x v="0"/>
          </reference>
          <reference field="1" count="1" selected="0">
            <x v="126"/>
          </reference>
        </references>
      </pivotArea>
    </chartFormat>
    <chartFormat chart="2" format="209" series="1">
      <pivotArea type="data" outline="0" fieldPosition="0">
        <references count="2">
          <reference field="4294967294" count="1" selected="0">
            <x v="0"/>
          </reference>
          <reference field="1" count="1" selected="0">
            <x v="123"/>
          </reference>
        </references>
      </pivotArea>
    </chartFormat>
    <chartFormat chart="2" format="210" series="1">
      <pivotArea type="data" outline="0" fieldPosition="0">
        <references count="2">
          <reference field="4294967294" count="1" selected="0">
            <x v="0"/>
          </reference>
          <reference field="1" count="1" selected="0">
            <x v="124"/>
          </reference>
        </references>
      </pivotArea>
    </chartFormat>
    <chartFormat chart="2" format="211" series="1">
      <pivotArea type="data" outline="0" fieldPosition="0">
        <references count="2">
          <reference field="4294967294" count="1" selected="0">
            <x v="0"/>
          </reference>
          <reference field="1" count="1" selected="0">
            <x v="125"/>
          </reference>
        </references>
      </pivotArea>
    </chartFormat>
    <chartFormat chart="2" format="212" series="1">
      <pivotArea type="data" outline="0" fieldPosition="0">
        <references count="2">
          <reference field="4294967294" count="1" selected="0">
            <x v="0"/>
          </reference>
          <reference field="1" count="1" selected="0">
            <x v="127"/>
          </reference>
        </references>
      </pivotArea>
    </chartFormat>
    <chartFormat chart="2" format="213" series="1">
      <pivotArea type="data" outline="0" fieldPosition="0">
        <references count="2">
          <reference field="4294967294" count="1" selected="0">
            <x v="0"/>
          </reference>
          <reference field="1" count="1" selected="0">
            <x v="128"/>
          </reference>
        </references>
      </pivotArea>
    </chartFormat>
    <chartFormat chart="2" format="214" series="1">
      <pivotArea type="data" outline="0" fieldPosition="0">
        <references count="2">
          <reference field="4294967294" count="1" selected="0">
            <x v="0"/>
          </reference>
          <reference field="1" count="1" selected="0">
            <x v="129"/>
          </reference>
        </references>
      </pivotArea>
    </chartFormat>
    <chartFormat chart="2" format="215" series="1">
      <pivotArea type="data" outline="0" fieldPosition="0">
        <references count="2">
          <reference field="4294967294" count="1" selected="0">
            <x v="0"/>
          </reference>
          <reference field="1" count="1" selected="0">
            <x v="130"/>
          </reference>
        </references>
      </pivotArea>
    </chartFormat>
    <chartFormat chart="2" format="216" series="1">
      <pivotArea type="data" outline="0" fieldPosition="0">
        <references count="2">
          <reference field="4294967294" count="1" selected="0">
            <x v="0"/>
          </reference>
          <reference field="1" count="1" selected="0">
            <x v="131"/>
          </reference>
        </references>
      </pivotArea>
    </chartFormat>
    <chartFormat chart="2" format="217" series="1">
      <pivotArea type="data" outline="0" fieldPosition="0">
        <references count="2">
          <reference field="4294967294" count="1" selected="0">
            <x v="0"/>
          </reference>
          <reference field="1" count="1" selected="0">
            <x v="132"/>
          </reference>
        </references>
      </pivotArea>
    </chartFormat>
    <chartFormat chart="2" format="218" series="1">
      <pivotArea type="data" outline="0" fieldPosition="0">
        <references count="2">
          <reference field="4294967294" count="1" selected="0">
            <x v="0"/>
          </reference>
          <reference field="1" count="1" selected="0">
            <x v="133"/>
          </reference>
        </references>
      </pivotArea>
    </chartFormat>
    <chartFormat chart="2" format="219" series="1">
      <pivotArea type="data" outline="0" fieldPosition="0">
        <references count="2">
          <reference field="4294967294" count="1" selected="0">
            <x v="0"/>
          </reference>
          <reference field="1" count="1" selected="0">
            <x v="134"/>
          </reference>
        </references>
      </pivotArea>
    </chartFormat>
    <chartFormat chart="2" format="220" series="1">
      <pivotArea type="data" outline="0" fieldPosition="0">
        <references count="2">
          <reference field="4294967294" count="1" selected="0">
            <x v="0"/>
          </reference>
          <reference field="1" count="1" selected="0">
            <x v="135"/>
          </reference>
        </references>
      </pivotArea>
    </chartFormat>
    <chartFormat chart="2" format="221" series="1">
      <pivotArea type="data" outline="0" fieldPosition="0">
        <references count="2">
          <reference field="4294967294" count="1" selected="0">
            <x v="0"/>
          </reference>
          <reference field="1" count="1" selected="0">
            <x v="139"/>
          </reference>
        </references>
      </pivotArea>
    </chartFormat>
    <chartFormat chart="2" format="222" series="1">
      <pivotArea type="data" outline="0" fieldPosition="0">
        <references count="2">
          <reference field="4294967294" count="1" selected="0">
            <x v="0"/>
          </reference>
          <reference field="1" count="1" selected="0">
            <x v="136"/>
          </reference>
        </references>
      </pivotArea>
    </chartFormat>
    <chartFormat chart="2" format="223" series="1">
      <pivotArea type="data" outline="0" fieldPosition="0">
        <references count="2">
          <reference field="4294967294" count="1" selected="0">
            <x v="0"/>
          </reference>
          <reference field="1" count="1" selected="0">
            <x v="137"/>
          </reference>
        </references>
      </pivotArea>
    </chartFormat>
    <chartFormat chart="2" format="224" series="1">
      <pivotArea type="data" outline="0" fieldPosition="0">
        <references count="2">
          <reference field="4294967294" count="1" selected="0">
            <x v="0"/>
          </reference>
          <reference field="1" count="1" selected="0">
            <x v="138"/>
          </reference>
        </references>
      </pivotArea>
    </chartFormat>
    <chartFormat chart="2" format="225" series="1">
      <pivotArea type="data" outline="0" fieldPosition="0">
        <references count="2">
          <reference field="4294967294" count="1" selected="0">
            <x v="0"/>
          </reference>
          <reference field="1" count="1" selected="0">
            <x v="143"/>
          </reference>
        </references>
      </pivotArea>
    </chartFormat>
    <chartFormat chart="2" format="226" series="1">
      <pivotArea type="data" outline="0" fieldPosition="0">
        <references count="2">
          <reference field="4294967294" count="1" selected="0">
            <x v="0"/>
          </reference>
          <reference field="1" count="1" selected="0">
            <x v="144"/>
          </reference>
        </references>
      </pivotArea>
    </chartFormat>
    <chartFormat chart="2" format="227" series="1">
      <pivotArea type="data" outline="0" fieldPosition="0">
        <references count="2">
          <reference field="4294967294" count="1" selected="0">
            <x v="0"/>
          </reference>
          <reference field="1" count="1" selected="0">
            <x v="145"/>
          </reference>
        </references>
      </pivotArea>
    </chartFormat>
    <chartFormat chart="2" format="228" series="1">
      <pivotArea type="data" outline="0" fieldPosition="0">
        <references count="2">
          <reference field="4294967294" count="1" selected="0">
            <x v="0"/>
          </reference>
          <reference field="1" count="1" selected="0">
            <x v="146"/>
          </reference>
        </references>
      </pivotArea>
    </chartFormat>
    <chartFormat chart="2" format="229" series="1">
      <pivotArea type="data" outline="0" fieldPosition="0">
        <references count="2">
          <reference field="4294967294" count="1" selected="0">
            <x v="0"/>
          </reference>
          <reference field="1" count="1" selected="0">
            <x v="147"/>
          </reference>
        </references>
      </pivotArea>
    </chartFormat>
    <chartFormat chart="2" format="230" series="1">
      <pivotArea type="data" outline="0" fieldPosition="0">
        <references count="2">
          <reference field="4294967294" count="1" selected="0">
            <x v="0"/>
          </reference>
          <reference field="1" count="1" selected="0">
            <x v="148"/>
          </reference>
        </references>
      </pivotArea>
    </chartFormat>
    <chartFormat chart="2" format="231" series="1">
      <pivotArea type="data" outline="0" fieldPosition="0">
        <references count="2">
          <reference field="4294967294" count="1" selected="0">
            <x v="0"/>
          </reference>
          <reference field="1" count="1" selected="0">
            <x v="140"/>
          </reference>
        </references>
      </pivotArea>
    </chartFormat>
    <chartFormat chart="2" format="232" series="1">
      <pivotArea type="data" outline="0" fieldPosition="0">
        <references count="2">
          <reference field="4294967294" count="1" selected="0">
            <x v="0"/>
          </reference>
          <reference field="1" count="1" selected="0">
            <x v="141"/>
          </reference>
        </references>
      </pivotArea>
    </chartFormat>
    <chartFormat chart="2" format="233" series="1">
      <pivotArea type="data" outline="0" fieldPosition="0">
        <references count="2">
          <reference field="4294967294" count="1" selected="0">
            <x v="0"/>
          </reference>
          <reference field="1" count="1" selected="0">
            <x v="142"/>
          </reference>
        </references>
      </pivotArea>
    </chartFormat>
    <chartFormat chart="2" format="234" series="1">
      <pivotArea type="data" outline="0" fieldPosition="0">
        <references count="2">
          <reference field="4294967294" count="1" selected="0">
            <x v="0"/>
          </reference>
          <reference field="1" count="1" selected="0">
            <x v="149"/>
          </reference>
        </references>
      </pivotArea>
    </chartFormat>
    <chartFormat chart="2" format="235" series="1">
      <pivotArea type="data" outline="0" fieldPosition="0">
        <references count="2">
          <reference field="4294967294" count="1" selected="0">
            <x v="0"/>
          </reference>
          <reference field="1" count="1" selected="0">
            <x v="150"/>
          </reference>
        </references>
      </pivotArea>
    </chartFormat>
    <chartFormat chart="2" format="236" series="1">
      <pivotArea type="data" outline="0" fieldPosition="0">
        <references count="2">
          <reference field="4294967294" count="1" selected="0">
            <x v="0"/>
          </reference>
          <reference field="1" count="1" selected="0">
            <x v="151"/>
          </reference>
        </references>
      </pivotArea>
    </chartFormat>
    <chartFormat chart="2" format="237" series="1">
      <pivotArea type="data" outline="0" fieldPosition="0">
        <references count="2">
          <reference field="4294967294" count="1" selected="0">
            <x v="0"/>
          </reference>
          <reference field="1" count="1" selected="0">
            <x v="152"/>
          </reference>
        </references>
      </pivotArea>
    </chartFormat>
    <chartFormat chart="2" format="238" series="1">
      <pivotArea type="data" outline="0" fieldPosition="0">
        <references count="2">
          <reference field="4294967294" count="1" selected="0">
            <x v="0"/>
          </reference>
          <reference field="1" count="1" selected="0">
            <x v="153"/>
          </reference>
        </references>
      </pivotArea>
    </chartFormat>
    <chartFormat chart="2" format="239" series="1">
      <pivotArea type="data" outline="0" fieldPosition="0">
        <references count="2">
          <reference field="4294967294" count="1" selected="0">
            <x v="0"/>
          </reference>
          <reference field="1" count="1" selected="0">
            <x v="154"/>
          </reference>
        </references>
      </pivotArea>
    </chartFormat>
    <chartFormat chart="2" format="240" series="1">
      <pivotArea type="data" outline="0" fieldPosition="0">
        <references count="2">
          <reference field="4294967294" count="1" selected="0">
            <x v="0"/>
          </reference>
          <reference field="1" count="1" selected="0">
            <x v="155"/>
          </reference>
        </references>
      </pivotArea>
    </chartFormat>
    <chartFormat chart="2" format="241" series="1">
      <pivotArea type="data" outline="0" fieldPosition="0">
        <references count="2">
          <reference field="4294967294" count="1" selected="0">
            <x v="0"/>
          </reference>
          <reference field="1" count="1" selected="0">
            <x v="156"/>
          </reference>
        </references>
      </pivotArea>
    </chartFormat>
    <chartFormat chart="2" format="242" series="1">
      <pivotArea type="data" outline="0" fieldPosition="0">
        <references count="2">
          <reference field="4294967294" count="1" selected="0">
            <x v="0"/>
          </reference>
          <reference field="1" count="1" selected="0">
            <x v="157"/>
          </reference>
        </references>
      </pivotArea>
    </chartFormat>
    <chartFormat chart="2" format="243" series="1">
      <pivotArea type="data" outline="0" fieldPosition="0">
        <references count="2">
          <reference field="4294967294" count="1" selected="0">
            <x v="0"/>
          </reference>
          <reference field="1" count="1" selected="0">
            <x v="158"/>
          </reference>
        </references>
      </pivotArea>
    </chartFormat>
    <chartFormat chart="2" format="244" series="1">
      <pivotArea type="data" outline="0" fieldPosition="0">
        <references count="2">
          <reference field="4294967294" count="1" selected="0">
            <x v="0"/>
          </reference>
          <reference field="1" count="1" selected="0">
            <x v="159"/>
          </reference>
        </references>
      </pivotArea>
    </chartFormat>
    <chartFormat chart="2" format="245" series="1">
      <pivotArea type="data" outline="0" fieldPosition="0">
        <references count="2">
          <reference field="4294967294" count="1" selected="0">
            <x v="0"/>
          </reference>
          <reference field="1" count="1" selected="0">
            <x v="160"/>
          </reference>
        </references>
      </pivotArea>
    </chartFormat>
    <chartFormat chart="2" format="246" series="1">
      <pivotArea type="data" outline="0" fieldPosition="0">
        <references count="2">
          <reference field="4294967294" count="1" selected="0">
            <x v="0"/>
          </reference>
          <reference field="1" count="1" selected="0">
            <x v="161"/>
          </reference>
        </references>
      </pivotArea>
    </chartFormat>
    <chartFormat chart="2" format="247" series="1">
      <pivotArea type="data" outline="0" fieldPosition="0">
        <references count="2">
          <reference field="4294967294" count="1" selected="0">
            <x v="0"/>
          </reference>
          <reference field="1" count="1" selected="0">
            <x v="165"/>
          </reference>
        </references>
      </pivotArea>
    </chartFormat>
    <chartFormat chart="2" format="248" series="1">
      <pivotArea type="data" outline="0" fieldPosition="0">
        <references count="2">
          <reference field="4294967294" count="1" selected="0">
            <x v="0"/>
          </reference>
          <reference field="1" count="1" selected="0">
            <x v="166"/>
          </reference>
        </references>
      </pivotArea>
    </chartFormat>
    <chartFormat chart="2" format="249" series="1">
      <pivotArea type="data" outline="0" fieldPosition="0">
        <references count="2">
          <reference field="4294967294" count="1" selected="0">
            <x v="0"/>
          </reference>
          <reference field="1" count="1" selected="0">
            <x v="167"/>
          </reference>
        </references>
      </pivotArea>
    </chartFormat>
    <chartFormat chart="2" format="250" series="1">
      <pivotArea type="data" outline="0" fieldPosition="0">
        <references count="2">
          <reference field="4294967294" count="1" selected="0">
            <x v="0"/>
          </reference>
          <reference field="1" count="1" selected="0">
            <x v="168"/>
          </reference>
        </references>
      </pivotArea>
    </chartFormat>
    <chartFormat chart="2" format="251" series="1">
      <pivotArea type="data" outline="0" fieldPosition="0">
        <references count="2">
          <reference field="4294967294" count="1" selected="0">
            <x v="0"/>
          </reference>
          <reference field="1" count="1" selected="0">
            <x v="162"/>
          </reference>
        </references>
      </pivotArea>
    </chartFormat>
    <chartFormat chart="2" format="252" series="1">
      <pivotArea type="data" outline="0" fieldPosition="0">
        <references count="2">
          <reference field="4294967294" count="1" selected="0">
            <x v="0"/>
          </reference>
          <reference field="1" count="1" selected="0">
            <x v="163"/>
          </reference>
        </references>
      </pivotArea>
    </chartFormat>
    <chartFormat chart="2" format="253" series="1">
      <pivotArea type="data" outline="0" fieldPosition="0">
        <references count="2">
          <reference field="4294967294" count="1" selected="0">
            <x v="0"/>
          </reference>
          <reference field="1" count="1" selected="0">
            <x v="164"/>
          </reference>
        </references>
      </pivotArea>
    </chartFormat>
    <chartFormat chart="2" format="254" series="1">
      <pivotArea type="data" outline="0" fieldPosition="0">
        <references count="2">
          <reference field="4294967294" count="1" selected="0">
            <x v="0"/>
          </reference>
          <reference field="1" count="1" selected="0">
            <x v="172"/>
          </reference>
        </references>
      </pivotArea>
    </chartFormat>
    <chartFormat chart="2" format="255" series="1">
      <pivotArea type="data" outline="0" fieldPosition="0">
        <references count="2">
          <reference field="4294967294" count="1" selected="0">
            <x v="0"/>
          </reference>
          <reference field="1" count="1" selected="0">
            <x v="173"/>
          </reference>
        </references>
      </pivotArea>
    </chartFormat>
    <chartFormat chart="2" format="256" series="1">
      <pivotArea type="data" outline="0" fieldPosition="0">
        <references count="2">
          <reference field="4294967294" count="1" selected="0">
            <x v="0"/>
          </reference>
          <reference field="1" count="1" selected="0">
            <x v="174"/>
          </reference>
        </references>
      </pivotArea>
    </chartFormat>
    <chartFormat chart="2" format="257" series="1">
      <pivotArea type="data" outline="0" fieldPosition="0">
        <references count="2">
          <reference field="4294967294" count="1" selected="0">
            <x v="0"/>
          </reference>
          <reference field="1" count="1" selected="0">
            <x v="169"/>
          </reference>
        </references>
      </pivotArea>
    </chartFormat>
    <chartFormat chart="2" format="258" series="1">
      <pivotArea type="data" outline="0" fieldPosition="0">
        <references count="2">
          <reference field="4294967294" count="1" selected="0">
            <x v="0"/>
          </reference>
          <reference field="1" count="1" selected="0">
            <x v="170"/>
          </reference>
        </references>
      </pivotArea>
    </chartFormat>
    <chartFormat chart="2" format="259" series="1">
      <pivotArea type="data" outline="0" fieldPosition="0">
        <references count="2">
          <reference field="4294967294" count="1" selected="0">
            <x v="0"/>
          </reference>
          <reference field="1" count="1" selected="0">
            <x v="171"/>
          </reference>
        </references>
      </pivotArea>
    </chartFormat>
    <chartFormat chart="2" format="260" series="1">
      <pivotArea type="data" outline="0" fieldPosition="0">
        <references count="2">
          <reference field="4294967294" count="1" selected="0">
            <x v="0"/>
          </reference>
          <reference field="1" count="1" selected="0">
            <x v="175"/>
          </reference>
        </references>
      </pivotArea>
    </chartFormat>
    <chartFormat chart="2" format="261" series="1">
      <pivotArea type="data" outline="0" fieldPosition="0">
        <references count="2">
          <reference field="4294967294" count="1" selected="0">
            <x v="0"/>
          </reference>
          <reference field="1" count="1" selected="0">
            <x v="176"/>
          </reference>
        </references>
      </pivotArea>
    </chartFormat>
    <chartFormat chart="2" format="262" series="1">
      <pivotArea type="data" outline="0" fieldPosition="0">
        <references count="2">
          <reference field="4294967294" count="1" selected="0">
            <x v="0"/>
          </reference>
          <reference field="1" count="1" selected="0">
            <x v="177"/>
          </reference>
        </references>
      </pivotArea>
    </chartFormat>
    <chartFormat chart="2" format="263" series="1">
      <pivotArea type="data" outline="0" fieldPosition="0">
        <references count="2">
          <reference field="4294967294" count="1" selected="0">
            <x v="0"/>
          </reference>
          <reference field="1" count="1" selected="0">
            <x v="178"/>
          </reference>
        </references>
      </pivotArea>
    </chartFormat>
    <chartFormat chart="2" format="264" series="1">
      <pivotArea type="data" outline="0" fieldPosition="0">
        <references count="2">
          <reference field="4294967294" count="1" selected="0">
            <x v="0"/>
          </reference>
          <reference field="1" count="1" selected="0">
            <x v="182"/>
          </reference>
        </references>
      </pivotArea>
    </chartFormat>
    <chartFormat chart="2" format="265" series="1">
      <pivotArea type="data" outline="0" fieldPosition="0">
        <references count="2">
          <reference field="4294967294" count="1" selected="0">
            <x v="0"/>
          </reference>
          <reference field="1" count="1" selected="0">
            <x v="183"/>
          </reference>
        </references>
      </pivotArea>
    </chartFormat>
    <chartFormat chart="2" format="266" series="1">
      <pivotArea type="data" outline="0" fieldPosition="0">
        <references count="2">
          <reference field="4294967294" count="1" selected="0">
            <x v="0"/>
          </reference>
          <reference field="1" count="1" selected="0">
            <x v="184"/>
          </reference>
        </references>
      </pivotArea>
    </chartFormat>
    <chartFormat chart="2" format="267" series="1">
      <pivotArea type="data" outline="0" fieldPosition="0">
        <references count="2">
          <reference field="4294967294" count="1" selected="0">
            <x v="0"/>
          </reference>
          <reference field="1" count="1" selected="0">
            <x v="185"/>
          </reference>
        </references>
      </pivotArea>
    </chartFormat>
    <chartFormat chart="2" format="268" series="1">
      <pivotArea type="data" outline="0" fieldPosition="0">
        <references count="2">
          <reference field="4294967294" count="1" selected="0">
            <x v="0"/>
          </reference>
          <reference field="1" count="1" selected="0">
            <x v="186"/>
          </reference>
        </references>
      </pivotArea>
    </chartFormat>
    <chartFormat chart="2" format="269" series="1">
      <pivotArea type="data" outline="0" fieldPosition="0">
        <references count="2">
          <reference field="4294967294" count="1" selected="0">
            <x v="0"/>
          </reference>
          <reference field="1" count="1" selected="0">
            <x v="187"/>
          </reference>
        </references>
      </pivotArea>
    </chartFormat>
    <chartFormat chart="2" format="270" series="1">
      <pivotArea type="data" outline="0" fieldPosition="0">
        <references count="2">
          <reference field="4294967294" count="1" selected="0">
            <x v="0"/>
          </reference>
          <reference field="1" count="1" selected="0">
            <x v="188"/>
          </reference>
        </references>
      </pivotArea>
    </chartFormat>
    <chartFormat chart="2" format="271" series="1">
      <pivotArea type="data" outline="0" fieldPosition="0">
        <references count="2">
          <reference field="4294967294" count="1" selected="0">
            <x v="0"/>
          </reference>
          <reference field="1" count="1" selected="0">
            <x v="189"/>
          </reference>
        </references>
      </pivotArea>
    </chartFormat>
    <chartFormat chart="2" format="272" series="1">
      <pivotArea type="data" outline="0" fieldPosition="0">
        <references count="2">
          <reference field="4294967294" count="1" selected="0">
            <x v="0"/>
          </reference>
          <reference field="1" count="1" selected="0">
            <x v="190"/>
          </reference>
        </references>
      </pivotArea>
    </chartFormat>
    <chartFormat chart="2" format="273" series="1">
      <pivotArea type="data" outline="0" fieldPosition="0">
        <references count="2">
          <reference field="4294967294" count="1" selected="0">
            <x v="0"/>
          </reference>
          <reference field="1" count="1" selected="0">
            <x v="179"/>
          </reference>
        </references>
      </pivotArea>
    </chartFormat>
    <chartFormat chart="2" format="274" series="1">
      <pivotArea type="data" outline="0" fieldPosition="0">
        <references count="2">
          <reference field="4294967294" count="1" selected="0">
            <x v="0"/>
          </reference>
          <reference field="1" count="1" selected="0">
            <x v="180"/>
          </reference>
        </references>
      </pivotArea>
    </chartFormat>
    <chartFormat chart="2" format="275" series="1">
      <pivotArea type="data" outline="0" fieldPosition="0">
        <references count="2">
          <reference field="4294967294" count="1" selected="0">
            <x v="0"/>
          </reference>
          <reference field="1" count="1" selected="0">
            <x v="181"/>
          </reference>
        </references>
      </pivotArea>
    </chartFormat>
    <chartFormat chart="2" format="276" series="1">
      <pivotArea type="data" outline="0" fieldPosition="0">
        <references count="2">
          <reference field="4294967294" count="1" selected="0">
            <x v="0"/>
          </reference>
          <reference field="1" count="1" selected="0">
            <x v="191"/>
          </reference>
        </references>
      </pivotArea>
    </chartFormat>
    <chartFormat chart="2" format="277" series="1">
      <pivotArea type="data" outline="0" fieldPosition="0">
        <references count="2">
          <reference field="4294967294" count="1" selected="0">
            <x v="0"/>
          </reference>
          <reference field="1" count="1" selected="0">
            <x v="195"/>
          </reference>
        </references>
      </pivotArea>
    </chartFormat>
    <chartFormat chart="2" format="278" series="1">
      <pivotArea type="data" outline="0" fieldPosition="0">
        <references count="2">
          <reference field="4294967294" count="1" selected="0">
            <x v="0"/>
          </reference>
          <reference field="1" count="1" selected="0">
            <x v="192"/>
          </reference>
        </references>
      </pivotArea>
    </chartFormat>
    <chartFormat chart="2" format="279" series="1">
      <pivotArea type="data" outline="0" fieldPosition="0">
        <references count="2">
          <reference field="4294967294" count="1" selected="0">
            <x v="0"/>
          </reference>
          <reference field="1" count="1" selected="0">
            <x v="193"/>
          </reference>
        </references>
      </pivotArea>
    </chartFormat>
    <chartFormat chart="2" format="280" series="1">
      <pivotArea type="data" outline="0" fieldPosition="0">
        <references count="2">
          <reference field="4294967294" count="1" selected="0">
            <x v="0"/>
          </reference>
          <reference field="1" count="1" selected="0">
            <x v="194"/>
          </reference>
        </references>
      </pivotArea>
    </chartFormat>
    <chartFormat chart="2" format="281" series="1">
      <pivotArea type="data" outline="0" fieldPosition="0">
        <references count="2">
          <reference field="4294967294" count="1" selected="0">
            <x v="0"/>
          </reference>
          <reference field="1" count="1" selected="0">
            <x v="199"/>
          </reference>
        </references>
      </pivotArea>
    </chartFormat>
    <chartFormat chart="2" format="282" series="1">
      <pivotArea type="data" outline="0" fieldPosition="0">
        <references count="2">
          <reference field="4294967294" count="1" selected="0">
            <x v="0"/>
          </reference>
          <reference field="1" count="1" selected="0">
            <x v="196"/>
          </reference>
        </references>
      </pivotArea>
    </chartFormat>
    <chartFormat chart="2" format="283" series="1">
      <pivotArea type="data" outline="0" fieldPosition="0">
        <references count="2">
          <reference field="4294967294" count="1" selected="0">
            <x v="0"/>
          </reference>
          <reference field="1" count="1" selected="0">
            <x v="197"/>
          </reference>
        </references>
      </pivotArea>
    </chartFormat>
    <chartFormat chart="2" format="284" series="1">
      <pivotArea type="data" outline="0" fieldPosition="0">
        <references count="2">
          <reference field="4294967294" count="1" selected="0">
            <x v="0"/>
          </reference>
          <reference field="1" count="1" selected="0">
            <x v="198"/>
          </reference>
        </references>
      </pivotArea>
    </chartFormat>
    <chartFormat chart="2" format="285" series="1">
      <pivotArea type="data" outline="0" fieldPosition="0">
        <references count="2">
          <reference field="4294967294" count="1" selected="0">
            <x v="0"/>
          </reference>
          <reference field="1" count="1" selected="0">
            <x v="203"/>
          </reference>
        </references>
      </pivotArea>
    </chartFormat>
    <chartFormat chart="2" format="286" series="1">
      <pivotArea type="data" outline="0" fieldPosition="0">
        <references count="2">
          <reference field="4294967294" count="1" selected="0">
            <x v="0"/>
          </reference>
          <reference field="1" count="1" selected="0">
            <x v="200"/>
          </reference>
        </references>
      </pivotArea>
    </chartFormat>
    <chartFormat chart="2" format="287" series="1">
      <pivotArea type="data" outline="0" fieldPosition="0">
        <references count="2">
          <reference field="4294967294" count="1" selected="0">
            <x v="0"/>
          </reference>
          <reference field="1" count="1" selected="0">
            <x v="201"/>
          </reference>
        </references>
      </pivotArea>
    </chartFormat>
    <chartFormat chart="2" format="288" series="1">
      <pivotArea type="data" outline="0" fieldPosition="0">
        <references count="2">
          <reference field="4294967294" count="1" selected="0">
            <x v="0"/>
          </reference>
          <reference field="1" count="1" selected="0">
            <x v="202"/>
          </reference>
        </references>
      </pivotArea>
    </chartFormat>
    <chartFormat chart="2" format="289" series="1">
      <pivotArea type="data" outline="0" fieldPosition="0">
        <references count="2">
          <reference field="4294967294" count="1" selected="0">
            <x v="0"/>
          </reference>
          <reference field="1" count="1" selected="0">
            <x v="204"/>
          </reference>
        </references>
      </pivotArea>
    </chartFormat>
    <chartFormat chart="2" format="290" series="1">
      <pivotArea type="data" outline="0" fieldPosition="0">
        <references count="2">
          <reference field="4294967294" count="1" selected="0">
            <x v="0"/>
          </reference>
          <reference field="1" count="1" selected="0">
            <x v="205"/>
          </reference>
        </references>
      </pivotArea>
    </chartFormat>
    <chartFormat chart="2" format="291" series="1">
      <pivotArea type="data" outline="0" fieldPosition="0">
        <references count="2">
          <reference field="4294967294" count="1" selected="0">
            <x v="0"/>
          </reference>
          <reference field="1" count="1" selected="0">
            <x v="206"/>
          </reference>
        </references>
      </pivotArea>
    </chartFormat>
    <chartFormat chart="2" format="292" series="1">
      <pivotArea type="data" outline="0" fieldPosition="0">
        <references count="2">
          <reference field="4294967294" count="1" selected="0">
            <x v="0"/>
          </reference>
          <reference field="1" count="1" selected="0">
            <x v="207"/>
          </reference>
        </references>
      </pivotArea>
    </chartFormat>
    <chartFormat chart="2" format="293" series="1">
      <pivotArea type="data" outline="0" fieldPosition="0">
        <references count="2">
          <reference field="4294967294" count="1" selected="0">
            <x v="0"/>
          </reference>
          <reference field="1" count="1" selected="0">
            <x v="208"/>
          </reference>
        </references>
      </pivotArea>
    </chartFormat>
    <chartFormat chart="2" format="294" series="1">
      <pivotArea type="data" outline="0" fieldPosition="0">
        <references count="2">
          <reference field="4294967294" count="1" selected="0">
            <x v="0"/>
          </reference>
          <reference field="1" count="1" selected="0">
            <x v="209"/>
          </reference>
        </references>
      </pivotArea>
    </chartFormat>
    <chartFormat chart="2" format="295" series="1">
      <pivotArea type="data" outline="0" fieldPosition="0">
        <references count="2">
          <reference field="4294967294" count="1" selected="0">
            <x v="0"/>
          </reference>
          <reference field="1" count="1" selected="0">
            <x v="210"/>
          </reference>
        </references>
      </pivotArea>
    </chartFormat>
    <chartFormat chart="2" format="296" series="1">
      <pivotArea type="data" outline="0" fieldPosition="0">
        <references count="2">
          <reference field="4294967294" count="1" selected="0">
            <x v="0"/>
          </reference>
          <reference field="1" count="1" selected="0">
            <x v="211"/>
          </reference>
        </references>
      </pivotArea>
    </chartFormat>
    <chartFormat chart="2" format="297" series="1">
      <pivotArea type="data" outline="0" fieldPosition="0">
        <references count="2">
          <reference field="4294967294" count="1" selected="0">
            <x v="0"/>
          </reference>
          <reference field="1" count="1" selected="0">
            <x v="212"/>
          </reference>
        </references>
      </pivotArea>
    </chartFormat>
    <chartFormat chart="2" format="298" series="1">
      <pivotArea type="data" outline="0" fieldPosition="0">
        <references count="2">
          <reference field="4294967294" count="1" selected="0">
            <x v="0"/>
          </reference>
          <reference field="1" count="1" selected="0">
            <x v="213"/>
          </reference>
        </references>
      </pivotArea>
    </chartFormat>
    <chartFormat chart="2" format="299" series="1">
      <pivotArea type="data" outline="0" fieldPosition="0">
        <references count="2">
          <reference field="4294967294" count="1" selected="0">
            <x v="0"/>
          </reference>
          <reference field="1" count="1" selected="0">
            <x v="214"/>
          </reference>
        </references>
      </pivotArea>
    </chartFormat>
    <chartFormat chart="2" format="300" series="1">
      <pivotArea type="data" outline="0" fieldPosition="0">
        <references count="2">
          <reference field="4294967294" count="1" selected="0">
            <x v="0"/>
          </reference>
          <reference field="1" count="1" selected="0">
            <x v="215"/>
          </reference>
        </references>
      </pivotArea>
    </chartFormat>
    <chartFormat chart="2" format="301" series="1">
      <pivotArea type="data" outline="0" fieldPosition="0">
        <references count="2">
          <reference field="4294967294" count="1" selected="0">
            <x v="0"/>
          </reference>
          <reference field="1" count="1" selected="0">
            <x v="216"/>
          </reference>
        </references>
      </pivotArea>
    </chartFormat>
    <chartFormat chart="2" format="302" series="1">
      <pivotArea type="data" outline="0" fieldPosition="0">
        <references count="2">
          <reference field="4294967294" count="1" selected="0">
            <x v="0"/>
          </reference>
          <reference field="1" count="1" selected="0">
            <x v="217"/>
          </reference>
        </references>
      </pivotArea>
    </chartFormat>
    <chartFormat chart="2" format="303" series="1">
      <pivotArea type="data" outline="0" fieldPosition="0">
        <references count="2">
          <reference field="4294967294" count="1" selected="0">
            <x v="0"/>
          </reference>
          <reference field="1" count="1" selected="0">
            <x v="218"/>
          </reference>
        </references>
      </pivotArea>
    </chartFormat>
    <chartFormat chart="2" format="304" series="1">
      <pivotArea type="data" outline="0" fieldPosition="0">
        <references count="2">
          <reference field="4294967294" count="1" selected="0">
            <x v="0"/>
          </reference>
          <reference field="1" count="1" selected="0">
            <x v="219"/>
          </reference>
        </references>
      </pivotArea>
    </chartFormat>
    <chartFormat chart="2" format="305" series="1">
      <pivotArea type="data" outline="0" fieldPosition="0">
        <references count="2">
          <reference field="4294967294" count="1" selected="0">
            <x v="0"/>
          </reference>
          <reference field="1" count="1" selected="0">
            <x v="220"/>
          </reference>
        </references>
      </pivotArea>
    </chartFormat>
    <chartFormat chart="2" format="306" series="1">
      <pivotArea type="data" outline="0" fieldPosition="0">
        <references count="2">
          <reference field="4294967294" count="1" selected="0">
            <x v="0"/>
          </reference>
          <reference field="1" count="1" selected="0">
            <x v="221"/>
          </reference>
        </references>
      </pivotArea>
    </chartFormat>
    <chartFormat chart="2" format="307" series="1">
      <pivotArea type="data" outline="0" fieldPosition="0">
        <references count="2">
          <reference field="4294967294" count="1" selected="0">
            <x v="0"/>
          </reference>
          <reference field="1" count="1" selected="0">
            <x v="222"/>
          </reference>
        </references>
      </pivotArea>
    </chartFormat>
    <chartFormat chart="2" format="308" series="1">
      <pivotArea type="data" outline="0" fieldPosition="0">
        <references count="2">
          <reference field="4294967294" count="1" selected="0">
            <x v="0"/>
          </reference>
          <reference field="1" count="1" selected="0">
            <x v="223"/>
          </reference>
        </references>
      </pivotArea>
    </chartFormat>
    <chartFormat chart="2" format="309" series="1">
      <pivotArea type="data" outline="0" fieldPosition="0">
        <references count="2">
          <reference field="4294967294" count="1" selected="0">
            <x v="0"/>
          </reference>
          <reference field="1" count="1" selected="0">
            <x v="227"/>
          </reference>
        </references>
      </pivotArea>
    </chartFormat>
    <chartFormat chart="2" format="310" series="1">
      <pivotArea type="data" outline="0" fieldPosition="0">
        <references count="2">
          <reference field="4294967294" count="1" selected="0">
            <x v="0"/>
          </reference>
          <reference field="1" count="1" selected="0">
            <x v="228"/>
          </reference>
        </references>
      </pivotArea>
    </chartFormat>
    <chartFormat chart="2" format="311" series="1">
      <pivotArea type="data" outline="0" fieldPosition="0">
        <references count="2">
          <reference field="4294967294" count="1" selected="0">
            <x v="0"/>
          </reference>
          <reference field="1" count="1" selected="0">
            <x v="229"/>
          </reference>
        </references>
      </pivotArea>
    </chartFormat>
    <chartFormat chart="2" format="312" series="1">
      <pivotArea type="data" outline="0" fieldPosition="0">
        <references count="2">
          <reference field="4294967294" count="1" selected="0">
            <x v="0"/>
          </reference>
          <reference field="1" count="1" selected="0">
            <x v="230"/>
          </reference>
        </references>
      </pivotArea>
    </chartFormat>
    <chartFormat chart="2" format="313" series="1">
      <pivotArea type="data" outline="0" fieldPosition="0">
        <references count="2">
          <reference field="4294967294" count="1" selected="0">
            <x v="0"/>
          </reference>
          <reference field="1" count="1" selected="0">
            <x v="231"/>
          </reference>
        </references>
      </pivotArea>
    </chartFormat>
    <chartFormat chart="2" format="314" series="1">
      <pivotArea type="data" outline="0" fieldPosition="0">
        <references count="2">
          <reference field="4294967294" count="1" selected="0">
            <x v="0"/>
          </reference>
          <reference field="1" count="1" selected="0">
            <x v="224"/>
          </reference>
        </references>
      </pivotArea>
    </chartFormat>
    <chartFormat chart="2" format="315" series="1">
      <pivotArea type="data" outline="0" fieldPosition="0">
        <references count="2">
          <reference field="4294967294" count="1" selected="0">
            <x v="0"/>
          </reference>
          <reference field="1" count="1" selected="0">
            <x v="225"/>
          </reference>
        </references>
      </pivotArea>
    </chartFormat>
    <chartFormat chart="2" format="316" series="1">
      <pivotArea type="data" outline="0" fieldPosition="0">
        <references count="2">
          <reference field="4294967294" count="1" selected="0">
            <x v="0"/>
          </reference>
          <reference field="1" count="1" selected="0">
            <x v="226"/>
          </reference>
        </references>
      </pivotArea>
    </chartFormat>
    <chartFormat chart="2" format="317" series="1">
      <pivotArea type="data" outline="0" fieldPosition="0">
        <references count="2">
          <reference field="4294967294" count="1" selected="0">
            <x v="0"/>
          </reference>
          <reference field="1" count="1" selected="0">
            <x v="232"/>
          </reference>
        </references>
      </pivotArea>
    </chartFormat>
    <chartFormat chart="2" format="318" series="1">
      <pivotArea type="data" outline="0" fieldPosition="0">
        <references count="2">
          <reference field="4294967294" count="1" selected="0">
            <x v="0"/>
          </reference>
          <reference field="1" count="1" selected="0">
            <x v="233"/>
          </reference>
        </references>
      </pivotArea>
    </chartFormat>
    <chartFormat chart="2" format="319" series="1">
      <pivotArea type="data" outline="0" fieldPosition="0">
        <references count="2">
          <reference field="4294967294" count="1" selected="0">
            <x v="0"/>
          </reference>
          <reference field="1" count="1" selected="0">
            <x v="234"/>
          </reference>
        </references>
      </pivotArea>
    </chartFormat>
    <chartFormat chart="2" format="320" series="1">
      <pivotArea type="data" outline="0" fieldPosition="0">
        <references count="2">
          <reference field="4294967294" count="1" selected="0">
            <x v="0"/>
          </reference>
          <reference field="1" count="1" selected="0">
            <x v="238"/>
          </reference>
        </references>
      </pivotArea>
    </chartFormat>
    <chartFormat chart="2" format="321" series="1">
      <pivotArea type="data" outline="0" fieldPosition="0">
        <references count="2">
          <reference field="4294967294" count="1" selected="0">
            <x v="0"/>
          </reference>
          <reference field="1" count="1" selected="0">
            <x v="235"/>
          </reference>
        </references>
      </pivotArea>
    </chartFormat>
    <chartFormat chart="2" format="322" series="1">
      <pivotArea type="data" outline="0" fieldPosition="0">
        <references count="2">
          <reference field="4294967294" count="1" selected="0">
            <x v="0"/>
          </reference>
          <reference field="1" count="1" selected="0">
            <x v="236"/>
          </reference>
        </references>
      </pivotArea>
    </chartFormat>
    <chartFormat chart="2" format="323" series="1">
      <pivotArea type="data" outline="0" fieldPosition="0">
        <references count="2">
          <reference field="4294967294" count="1" selected="0">
            <x v="0"/>
          </reference>
          <reference field="1" count="1" selected="0">
            <x v="237"/>
          </reference>
        </references>
      </pivotArea>
    </chartFormat>
    <chartFormat chart="2" format="324" series="1">
      <pivotArea type="data" outline="0" fieldPosition="0">
        <references count="2">
          <reference field="4294967294" count="1" selected="0">
            <x v="0"/>
          </reference>
          <reference field="1" count="1" selected="0">
            <x v="242"/>
          </reference>
        </references>
      </pivotArea>
    </chartFormat>
    <chartFormat chart="2" format="325" series="1">
      <pivotArea type="data" outline="0" fieldPosition="0">
        <references count="2">
          <reference field="4294967294" count="1" selected="0">
            <x v="0"/>
          </reference>
          <reference field="1" count="1" selected="0">
            <x v="243"/>
          </reference>
        </references>
      </pivotArea>
    </chartFormat>
    <chartFormat chart="2" format="326" series="1">
      <pivotArea type="data" outline="0" fieldPosition="0">
        <references count="2">
          <reference field="4294967294" count="1" selected="0">
            <x v="0"/>
          </reference>
          <reference field="1" count="1" selected="0">
            <x v="244"/>
          </reference>
        </references>
      </pivotArea>
    </chartFormat>
    <chartFormat chart="2" format="327" series="1">
      <pivotArea type="data" outline="0" fieldPosition="0">
        <references count="2">
          <reference field="4294967294" count="1" selected="0">
            <x v="0"/>
          </reference>
          <reference field="1" count="1" selected="0">
            <x v="239"/>
          </reference>
        </references>
      </pivotArea>
    </chartFormat>
    <chartFormat chart="2" format="328" series="1">
      <pivotArea type="data" outline="0" fieldPosition="0">
        <references count="2">
          <reference field="4294967294" count="1" selected="0">
            <x v="0"/>
          </reference>
          <reference field="1" count="1" selected="0">
            <x v="240"/>
          </reference>
        </references>
      </pivotArea>
    </chartFormat>
    <chartFormat chart="2" format="329" series="1">
      <pivotArea type="data" outline="0" fieldPosition="0">
        <references count="2">
          <reference field="4294967294" count="1" selected="0">
            <x v="0"/>
          </reference>
          <reference field="1" count="1" selected="0">
            <x v="241"/>
          </reference>
        </references>
      </pivotArea>
    </chartFormat>
    <chartFormat chart="2" format="330" series="1">
      <pivotArea type="data" outline="0" fieldPosition="0">
        <references count="2">
          <reference field="4294967294" count="1" selected="0">
            <x v="0"/>
          </reference>
          <reference field="1" count="1" selected="0">
            <x v="245"/>
          </reference>
        </references>
      </pivotArea>
    </chartFormat>
    <chartFormat chart="2" format="331" series="1">
      <pivotArea type="data" outline="0" fieldPosition="0">
        <references count="2">
          <reference field="4294967294" count="1" selected="0">
            <x v="0"/>
          </reference>
          <reference field="1" count="1" selected="0">
            <x v="246"/>
          </reference>
        </references>
      </pivotArea>
    </chartFormat>
    <chartFormat chart="2" format="332" series="1">
      <pivotArea type="data" outline="0" fieldPosition="0">
        <references count="2">
          <reference field="4294967294" count="1" selected="0">
            <x v="0"/>
          </reference>
          <reference field="1" count="1" selected="0">
            <x v="250"/>
          </reference>
        </references>
      </pivotArea>
    </chartFormat>
    <chartFormat chart="2" format="333" series="1">
      <pivotArea type="data" outline="0" fieldPosition="0">
        <references count="2">
          <reference field="4294967294" count="1" selected="0">
            <x v="0"/>
          </reference>
          <reference field="1" count="1" selected="0">
            <x v="251"/>
          </reference>
        </references>
      </pivotArea>
    </chartFormat>
    <chartFormat chart="2" format="334" series="1">
      <pivotArea type="data" outline="0" fieldPosition="0">
        <references count="2">
          <reference field="4294967294" count="1" selected="0">
            <x v="0"/>
          </reference>
          <reference field="1" count="1" selected="0">
            <x v="252"/>
          </reference>
        </references>
      </pivotArea>
    </chartFormat>
    <chartFormat chart="2" format="335" series="1">
      <pivotArea type="data" outline="0" fieldPosition="0">
        <references count="2">
          <reference field="4294967294" count="1" selected="0">
            <x v="0"/>
          </reference>
          <reference field="1" count="1" selected="0">
            <x v="253"/>
          </reference>
        </references>
      </pivotArea>
    </chartFormat>
    <chartFormat chart="2" format="336" series="1">
      <pivotArea type="data" outline="0" fieldPosition="0">
        <references count="2">
          <reference field="4294967294" count="1" selected="0">
            <x v="0"/>
          </reference>
          <reference field="1" count="1" selected="0">
            <x v="254"/>
          </reference>
        </references>
      </pivotArea>
    </chartFormat>
    <chartFormat chart="2" format="337" series="1">
      <pivotArea type="data" outline="0" fieldPosition="0">
        <references count="2">
          <reference field="4294967294" count="1" selected="0">
            <x v="0"/>
          </reference>
          <reference field="1" count="1" selected="0">
            <x v="255"/>
          </reference>
        </references>
      </pivotArea>
    </chartFormat>
    <chartFormat chart="2" format="338" series="1">
      <pivotArea type="data" outline="0" fieldPosition="0">
        <references count="2">
          <reference field="4294967294" count="1" selected="0">
            <x v="0"/>
          </reference>
          <reference field="1" count="1" selected="0">
            <x v="256"/>
          </reference>
        </references>
      </pivotArea>
    </chartFormat>
    <chartFormat chart="2" format="339" series="1">
      <pivotArea type="data" outline="0" fieldPosition="0">
        <references count="2">
          <reference field="4294967294" count="1" selected="0">
            <x v="0"/>
          </reference>
          <reference field="1" count="1" selected="0">
            <x v="257"/>
          </reference>
        </references>
      </pivotArea>
    </chartFormat>
    <chartFormat chart="2" format="340" series="1">
      <pivotArea type="data" outline="0" fieldPosition="0">
        <references count="2">
          <reference field="4294967294" count="1" selected="0">
            <x v="0"/>
          </reference>
          <reference field="1" count="1" selected="0">
            <x v="258"/>
          </reference>
        </references>
      </pivotArea>
    </chartFormat>
    <chartFormat chart="2" format="341" series="1">
      <pivotArea type="data" outline="0" fieldPosition="0">
        <references count="2">
          <reference field="4294967294" count="1" selected="0">
            <x v="0"/>
          </reference>
          <reference field="1" count="1" selected="0">
            <x v="259"/>
          </reference>
        </references>
      </pivotArea>
    </chartFormat>
    <chartFormat chart="2" format="342" series="1">
      <pivotArea type="data" outline="0" fieldPosition="0">
        <references count="2">
          <reference field="4294967294" count="1" selected="0">
            <x v="0"/>
          </reference>
          <reference field="1" count="1" selected="0">
            <x v="247"/>
          </reference>
        </references>
      </pivotArea>
    </chartFormat>
    <chartFormat chart="2" format="343" series="1">
      <pivotArea type="data" outline="0" fieldPosition="0">
        <references count="2">
          <reference field="4294967294" count="1" selected="0">
            <x v="0"/>
          </reference>
          <reference field="1" count="1" selected="0">
            <x v="248"/>
          </reference>
        </references>
      </pivotArea>
    </chartFormat>
    <chartFormat chart="2" format="344" series="1">
      <pivotArea type="data" outline="0" fieldPosition="0">
        <references count="2">
          <reference field="4294967294" count="1" selected="0">
            <x v="0"/>
          </reference>
          <reference field="1" count="1" selected="0">
            <x v="249"/>
          </reference>
        </references>
      </pivotArea>
    </chartFormat>
    <chartFormat chart="2" format="345" series="1">
      <pivotArea type="data" outline="0" fieldPosition="0">
        <references count="2">
          <reference field="4294967294" count="1" selected="0">
            <x v="0"/>
          </reference>
          <reference field="1" count="1" selected="0">
            <x v="260"/>
          </reference>
        </references>
      </pivotArea>
    </chartFormat>
    <chartFormat chart="2" format="346" series="1">
      <pivotArea type="data" outline="0" fieldPosition="0">
        <references count="2">
          <reference field="4294967294" count="1" selected="0">
            <x v="0"/>
          </reference>
          <reference field="1" count="1" selected="0">
            <x v="264"/>
          </reference>
        </references>
      </pivotArea>
    </chartFormat>
    <chartFormat chart="2" format="347" series="1">
      <pivotArea type="data" outline="0" fieldPosition="0">
        <references count="2">
          <reference field="4294967294" count="1" selected="0">
            <x v="0"/>
          </reference>
          <reference field="1" count="1" selected="0">
            <x v="265"/>
          </reference>
        </references>
      </pivotArea>
    </chartFormat>
    <chartFormat chart="2" format="348" series="1">
      <pivotArea type="data" outline="0" fieldPosition="0">
        <references count="2">
          <reference field="4294967294" count="1" selected="0">
            <x v="0"/>
          </reference>
          <reference field="1" count="1" selected="0">
            <x v="261"/>
          </reference>
        </references>
      </pivotArea>
    </chartFormat>
    <chartFormat chart="2" format="349" series="1">
      <pivotArea type="data" outline="0" fieldPosition="0">
        <references count="2">
          <reference field="4294967294" count="1" selected="0">
            <x v="0"/>
          </reference>
          <reference field="1" count="1" selected="0">
            <x v="262"/>
          </reference>
        </references>
      </pivotArea>
    </chartFormat>
    <chartFormat chart="2" format="350" series="1">
      <pivotArea type="data" outline="0" fieldPosition="0">
        <references count="2">
          <reference field="4294967294" count="1" selected="0">
            <x v="0"/>
          </reference>
          <reference field="1" count="1" selected="0">
            <x v="263"/>
          </reference>
        </references>
      </pivotArea>
    </chartFormat>
    <chartFormat chart="2" format="351" series="1">
      <pivotArea type="data" outline="0" fieldPosition="0">
        <references count="2">
          <reference field="4294967294" count="1" selected="0">
            <x v="0"/>
          </reference>
          <reference field="1" count="1" selected="0">
            <x v="266"/>
          </reference>
        </references>
      </pivotArea>
    </chartFormat>
    <chartFormat chart="2" format="352" series="1">
      <pivotArea type="data" outline="0" fieldPosition="0">
        <references count="2">
          <reference field="4294967294" count="1" selected="0">
            <x v="0"/>
          </reference>
          <reference field="1" count="1" selected="0">
            <x v="267"/>
          </reference>
        </references>
      </pivotArea>
    </chartFormat>
    <chartFormat chart="2" format="353" series="1">
      <pivotArea type="data" outline="0" fieldPosition="0">
        <references count="2">
          <reference field="4294967294" count="1" selected="0">
            <x v="0"/>
          </reference>
          <reference field="1" count="1" selected="0">
            <x v="268"/>
          </reference>
        </references>
      </pivotArea>
    </chartFormat>
    <chartFormat chart="2" format="354" series="1">
      <pivotArea type="data" outline="0" fieldPosition="0">
        <references count="2">
          <reference field="4294967294" count="1" selected="0">
            <x v="0"/>
          </reference>
          <reference field="1" count="1" selected="0">
            <x v="272"/>
          </reference>
        </references>
      </pivotArea>
    </chartFormat>
    <chartFormat chart="2" format="355" series="1">
      <pivotArea type="data" outline="0" fieldPosition="0">
        <references count="2">
          <reference field="4294967294" count="1" selected="0">
            <x v="0"/>
          </reference>
          <reference field="1" count="1" selected="0">
            <x v="273"/>
          </reference>
        </references>
      </pivotArea>
    </chartFormat>
    <chartFormat chart="2" format="356" series="1">
      <pivotArea type="data" outline="0" fieldPosition="0">
        <references count="2">
          <reference field="4294967294" count="1" selected="0">
            <x v="0"/>
          </reference>
          <reference field="1" count="1" selected="0">
            <x v="274"/>
          </reference>
        </references>
      </pivotArea>
    </chartFormat>
    <chartFormat chart="2" format="357" series="1">
      <pivotArea type="data" outline="0" fieldPosition="0">
        <references count="2">
          <reference field="4294967294" count="1" selected="0">
            <x v="0"/>
          </reference>
          <reference field="1" count="1" selected="0">
            <x v="269"/>
          </reference>
        </references>
      </pivotArea>
    </chartFormat>
    <chartFormat chart="2" format="358" series="1">
      <pivotArea type="data" outline="0" fieldPosition="0">
        <references count="2">
          <reference field="4294967294" count="1" selected="0">
            <x v="0"/>
          </reference>
          <reference field="1" count="1" selected="0">
            <x v="270"/>
          </reference>
        </references>
      </pivotArea>
    </chartFormat>
    <chartFormat chart="2" format="359" series="1">
      <pivotArea type="data" outline="0" fieldPosition="0">
        <references count="2">
          <reference field="4294967294" count="1" selected="0">
            <x v="0"/>
          </reference>
          <reference field="1" count="1" selected="0">
            <x v="271"/>
          </reference>
        </references>
      </pivotArea>
    </chartFormat>
    <chartFormat chart="2" format="360" series="1">
      <pivotArea type="data" outline="0" fieldPosition="0">
        <references count="2">
          <reference field="4294967294" count="1" selected="0">
            <x v="0"/>
          </reference>
          <reference field="1" count="1" selected="0">
            <x v="275"/>
          </reference>
        </references>
      </pivotArea>
    </chartFormat>
    <chartFormat chart="2" format="361" series="1">
      <pivotArea type="data" outline="0" fieldPosition="0">
        <references count="2">
          <reference field="4294967294" count="1" selected="0">
            <x v="0"/>
          </reference>
          <reference field="1" count="1" selected="0">
            <x v="279"/>
          </reference>
        </references>
      </pivotArea>
    </chartFormat>
    <chartFormat chart="2" format="362" series="1">
      <pivotArea type="data" outline="0" fieldPosition="0">
        <references count="2">
          <reference field="4294967294" count="1" selected="0">
            <x v="0"/>
          </reference>
          <reference field="1" count="1" selected="0">
            <x v="280"/>
          </reference>
        </references>
      </pivotArea>
    </chartFormat>
    <chartFormat chart="2" format="363" series="1">
      <pivotArea type="data" outline="0" fieldPosition="0">
        <references count="2">
          <reference field="4294967294" count="1" selected="0">
            <x v="0"/>
          </reference>
          <reference field="1" count="1" selected="0">
            <x v="281"/>
          </reference>
        </references>
      </pivotArea>
    </chartFormat>
    <chartFormat chart="2" format="364" series="1">
      <pivotArea type="data" outline="0" fieldPosition="0">
        <references count="2">
          <reference field="4294967294" count="1" selected="0">
            <x v="0"/>
          </reference>
          <reference field="1" count="1" selected="0">
            <x v="282"/>
          </reference>
        </references>
      </pivotArea>
    </chartFormat>
    <chartFormat chart="2" format="365" series="1">
      <pivotArea type="data" outline="0" fieldPosition="0">
        <references count="2">
          <reference field="4294967294" count="1" selected="0">
            <x v="0"/>
          </reference>
          <reference field="1" count="1" selected="0">
            <x v="283"/>
          </reference>
        </references>
      </pivotArea>
    </chartFormat>
    <chartFormat chart="2" format="366" series="1">
      <pivotArea type="data" outline="0" fieldPosition="0">
        <references count="2">
          <reference field="4294967294" count="1" selected="0">
            <x v="0"/>
          </reference>
          <reference field="1" count="1" selected="0">
            <x v="284"/>
          </reference>
        </references>
      </pivotArea>
    </chartFormat>
    <chartFormat chart="2" format="367" series="1">
      <pivotArea type="data" outline="0" fieldPosition="0">
        <references count="2">
          <reference field="4294967294" count="1" selected="0">
            <x v="0"/>
          </reference>
          <reference field="1" count="1" selected="0">
            <x v="285"/>
          </reference>
        </references>
      </pivotArea>
    </chartFormat>
    <chartFormat chart="2" format="368" series="1">
      <pivotArea type="data" outline="0" fieldPosition="0">
        <references count="2">
          <reference field="4294967294" count="1" selected="0">
            <x v="0"/>
          </reference>
          <reference field="1" count="1" selected="0">
            <x v="286"/>
          </reference>
        </references>
      </pivotArea>
    </chartFormat>
    <chartFormat chart="2" format="369" series="1">
      <pivotArea type="data" outline="0" fieldPosition="0">
        <references count="2">
          <reference field="4294967294" count="1" selected="0">
            <x v="0"/>
          </reference>
          <reference field="1" count="1" selected="0">
            <x v="287"/>
          </reference>
        </references>
      </pivotArea>
    </chartFormat>
    <chartFormat chart="2" format="370" series="1">
      <pivotArea type="data" outline="0" fieldPosition="0">
        <references count="2">
          <reference field="4294967294" count="1" selected="0">
            <x v="0"/>
          </reference>
          <reference field="1" count="1" selected="0">
            <x v="288"/>
          </reference>
        </references>
      </pivotArea>
    </chartFormat>
    <chartFormat chart="2" format="371" series="1">
      <pivotArea type="data" outline="0" fieldPosition="0">
        <references count="2">
          <reference field="4294967294" count="1" selected="0">
            <x v="0"/>
          </reference>
          <reference field="1" count="1" selected="0">
            <x v="276"/>
          </reference>
        </references>
      </pivotArea>
    </chartFormat>
    <chartFormat chart="2" format="372" series="1">
      <pivotArea type="data" outline="0" fieldPosition="0">
        <references count="2">
          <reference field="4294967294" count="1" selected="0">
            <x v="0"/>
          </reference>
          <reference field="1" count="1" selected="0">
            <x v="277"/>
          </reference>
        </references>
      </pivotArea>
    </chartFormat>
    <chartFormat chart="2" format="373" series="1">
      <pivotArea type="data" outline="0" fieldPosition="0">
        <references count="2">
          <reference field="4294967294" count="1" selected="0">
            <x v="0"/>
          </reference>
          <reference field="1" count="1" selected="0">
            <x v="278"/>
          </reference>
        </references>
      </pivotArea>
    </chartFormat>
    <chartFormat chart="2" format="374" series="1">
      <pivotArea type="data" outline="0" fieldPosition="0">
        <references count="2">
          <reference field="4294967294" count="1" selected="0">
            <x v="0"/>
          </reference>
          <reference field="1" count="1" selected="0">
            <x v="289"/>
          </reference>
        </references>
      </pivotArea>
    </chartFormat>
    <chartFormat chart="2" format="375" series="1">
      <pivotArea type="data" outline="0" fieldPosition="0">
        <references count="2">
          <reference field="4294967294" count="1" selected="0">
            <x v="0"/>
          </reference>
          <reference field="1" count="1" selected="0">
            <x v="290"/>
          </reference>
        </references>
      </pivotArea>
    </chartFormat>
    <chartFormat chart="2" format="376" series="1">
      <pivotArea type="data" outline="0" fieldPosition="0">
        <references count="2">
          <reference field="4294967294" count="1" selected="0">
            <x v="0"/>
          </reference>
          <reference field="1" count="1" selected="0">
            <x v="291"/>
          </reference>
        </references>
      </pivotArea>
    </chartFormat>
    <chartFormat chart="2" format="377" series="1">
      <pivotArea type="data" outline="0" fieldPosition="0">
        <references count="2">
          <reference field="4294967294" count="1" selected="0">
            <x v="0"/>
          </reference>
          <reference field="1" count="1" selected="0">
            <x v="292"/>
          </reference>
        </references>
      </pivotArea>
    </chartFormat>
    <chartFormat chart="2" format="378" series="1">
      <pivotArea type="data" outline="0" fieldPosition="0">
        <references count="2">
          <reference field="4294967294" count="1" selected="0">
            <x v="0"/>
          </reference>
          <reference field="1" count="1" selected="0">
            <x v="293"/>
          </reference>
        </references>
      </pivotArea>
    </chartFormat>
    <chartFormat chart="2" format="379" series="1">
      <pivotArea type="data" outline="0" fieldPosition="0">
        <references count="2">
          <reference field="4294967294" count="1" selected="0">
            <x v="0"/>
          </reference>
          <reference field="1" count="1" selected="0">
            <x v="294"/>
          </reference>
        </references>
      </pivotArea>
    </chartFormat>
    <chartFormat chart="2" format="380" series="1">
      <pivotArea type="data" outline="0" fieldPosition="0">
        <references count="2">
          <reference field="4294967294" count="1" selected="0">
            <x v="0"/>
          </reference>
          <reference field="1" count="1" selected="0">
            <x v="295"/>
          </reference>
        </references>
      </pivotArea>
    </chartFormat>
    <chartFormat chart="2" format="381" series="1">
      <pivotArea type="data" outline="0" fieldPosition="0">
        <references count="2">
          <reference field="4294967294" count="1" selected="0">
            <x v="0"/>
          </reference>
          <reference field="1" count="1" selected="0">
            <x v="296"/>
          </reference>
        </references>
      </pivotArea>
    </chartFormat>
    <chartFormat chart="2" format="382" series="1">
      <pivotArea type="data" outline="0" fieldPosition="0">
        <references count="2">
          <reference field="4294967294" count="1" selected="0">
            <x v="0"/>
          </reference>
          <reference field="1" count="1" selected="0">
            <x v="297"/>
          </reference>
        </references>
      </pivotArea>
    </chartFormat>
    <chartFormat chart="2" format="383" series="1">
      <pivotArea type="data" outline="0" fieldPosition="0">
        <references count="2">
          <reference field="4294967294" count="1" selected="0">
            <x v="0"/>
          </reference>
          <reference field="1" count="1" selected="0">
            <x v="298"/>
          </reference>
        </references>
      </pivotArea>
    </chartFormat>
    <chartFormat chart="2" format="384" series="1">
      <pivotArea type="data" outline="0" fieldPosition="0">
        <references count="2">
          <reference field="4294967294" count="1" selected="0">
            <x v="0"/>
          </reference>
          <reference field="1" count="1" selected="0">
            <x v="299"/>
          </reference>
        </references>
      </pivotArea>
    </chartFormat>
    <chartFormat chart="2" format="385" series="1">
      <pivotArea type="data" outline="0" fieldPosition="0">
        <references count="2">
          <reference field="4294967294" count="1" selected="0">
            <x v="0"/>
          </reference>
          <reference field="1" count="1" selected="0">
            <x v="300"/>
          </reference>
        </references>
      </pivotArea>
    </chartFormat>
    <chartFormat chart="2" format="386" series="1">
      <pivotArea type="data" outline="0" fieldPosition="0">
        <references count="2">
          <reference field="4294967294" count="1" selected="0">
            <x v="0"/>
          </reference>
          <reference field="1" count="1" selected="0">
            <x v="301"/>
          </reference>
        </references>
      </pivotArea>
    </chartFormat>
    <chartFormat chart="2" format="387" series="1">
      <pivotArea type="data" outline="0" fieldPosition="0">
        <references count="2">
          <reference field="4294967294" count="1" selected="0">
            <x v="0"/>
          </reference>
          <reference field="1" count="1" selected="0">
            <x v="302"/>
          </reference>
        </references>
      </pivotArea>
    </chartFormat>
    <chartFormat chart="2" format="388" series="1">
      <pivotArea type="data" outline="0" fieldPosition="0">
        <references count="2">
          <reference field="4294967294" count="1" selected="0">
            <x v="0"/>
          </reference>
          <reference field="1" count="1" selected="0">
            <x v="303"/>
          </reference>
        </references>
      </pivotArea>
    </chartFormat>
    <chartFormat chart="2" format="389" series="1">
      <pivotArea type="data" outline="0" fieldPosition="0">
        <references count="2">
          <reference field="4294967294" count="1" selected="0">
            <x v="0"/>
          </reference>
          <reference field="1" count="1" selected="0">
            <x v="304"/>
          </reference>
        </references>
      </pivotArea>
    </chartFormat>
    <chartFormat chart="2" format="390" series="1">
      <pivotArea type="data" outline="0" fieldPosition="0">
        <references count="2">
          <reference field="4294967294" count="1" selected="0">
            <x v="0"/>
          </reference>
          <reference field="1" count="1" selected="0">
            <x v="308"/>
          </reference>
        </references>
      </pivotArea>
    </chartFormat>
    <chartFormat chart="2" format="391" series="1">
      <pivotArea type="data" outline="0" fieldPosition="0">
        <references count="2">
          <reference field="4294967294" count="1" selected="0">
            <x v="0"/>
          </reference>
          <reference field="1" count="1" selected="0">
            <x v="305"/>
          </reference>
        </references>
      </pivotArea>
    </chartFormat>
    <chartFormat chart="2" format="392" series="1">
      <pivotArea type="data" outline="0" fieldPosition="0">
        <references count="2">
          <reference field="4294967294" count="1" selected="0">
            <x v="0"/>
          </reference>
          <reference field="1" count="1" selected="0">
            <x v="306"/>
          </reference>
        </references>
      </pivotArea>
    </chartFormat>
    <chartFormat chart="2" format="393" series="1">
      <pivotArea type="data" outline="0" fieldPosition="0">
        <references count="2">
          <reference field="4294967294" count="1" selected="0">
            <x v="0"/>
          </reference>
          <reference field="1" count="1" selected="0">
            <x v="307"/>
          </reference>
        </references>
      </pivotArea>
    </chartFormat>
    <chartFormat chart="2" format="394" series="1">
      <pivotArea type="data" outline="0" fieldPosition="0">
        <references count="2">
          <reference field="4294967294" count="1" selected="0">
            <x v="0"/>
          </reference>
          <reference field="1" count="1" selected="0">
            <x v="309"/>
          </reference>
        </references>
      </pivotArea>
    </chartFormat>
    <chartFormat chart="2" format="395" series="1">
      <pivotArea type="data" outline="0" fieldPosition="0">
        <references count="2">
          <reference field="4294967294" count="1" selected="0">
            <x v="0"/>
          </reference>
          <reference field="1" count="1" selected="0">
            <x v="310"/>
          </reference>
        </references>
      </pivotArea>
    </chartFormat>
    <chartFormat chart="2" format="396" series="1">
      <pivotArea type="data" outline="0" fieldPosition="0">
        <references count="2">
          <reference field="4294967294" count="1" selected="0">
            <x v="0"/>
          </reference>
          <reference field="1" count="1" selected="0">
            <x v="314"/>
          </reference>
        </references>
      </pivotArea>
    </chartFormat>
    <chartFormat chart="2" format="397" series="1">
      <pivotArea type="data" outline="0" fieldPosition="0">
        <references count="2">
          <reference field="4294967294" count="1" selected="0">
            <x v="0"/>
          </reference>
          <reference field="1" count="1" selected="0">
            <x v="315"/>
          </reference>
        </references>
      </pivotArea>
    </chartFormat>
    <chartFormat chart="2" format="398" series="1">
      <pivotArea type="data" outline="0" fieldPosition="0">
        <references count="2">
          <reference field="4294967294" count="1" selected="0">
            <x v="0"/>
          </reference>
          <reference field="1" count="1" selected="0">
            <x v="316"/>
          </reference>
        </references>
      </pivotArea>
    </chartFormat>
    <chartFormat chart="2" format="399" series="1">
      <pivotArea type="data" outline="0" fieldPosition="0">
        <references count="2">
          <reference field="4294967294" count="1" selected="0">
            <x v="0"/>
          </reference>
          <reference field="1" count="1" selected="0">
            <x v="317"/>
          </reference>
        </references>
      </pivotArea>
    </chartFormat>
    <chartFormat chart="2" format="400" series="1">
      <pivotArea type="data" outline="0" fieldPosition="0">
        <references count="2">
          <reference field="4294967294" count="1" selected="0">
            <x v="0"/>
          </reference>
          <reference field="1" count="1" selected="0">
            <x v="318"/>
          </reference>
        </references>
      </pivotArea>
    </chartFormat>
    <chartFormat chart="2" format="401" series="1">
      <pivotArea type="data" outline="0" fieldPosition="0">
        <references count="2">
          <reference field="4294967294" count="1" selected="0">
            <x v="0"/>
          </reference>
          <reference field="1" count="1" selected="0">
            <x v="319"/>
          </reference>
        </references>
      </pivotArea>
    </chartFormat>
    <chartFormat chart="2" format="402" series="1">
      <pivotArea type="data" outline="0" fieldPosition="0">
        <references count="2">
          <reference field="4294967294" count="1" selected="0">
            <x v="0"/>
          </reference>
          <reference field="1" count="1" selected="0">
            <x v="320"/>
          </reference>
        </references>
      </pivotArea>
    </chartFormat>
    <chartFormat chart="2" format="403" series="1">
      <pivotArea type="data" outline="0" fieldPosition="0">
        <references count="2">
          <reference field="4294967294" count="1" selected="0">
            <x v="0"/>
          </reference>
          <reference field="1" count="1" selected="0">
            <x v="321"/>
          </reference>
        </references>
      </pivotArea>
    </chartFormat>
    <chartFormat chart="2" format="404" series="1">
      <pivotArea type="data" outline="0" fieldPosition="0">
        <references count="2">
          <reference field="4294967294" count="1" selected="0">
            <x v="0"/>
          </reference>
          <reference field="1" count="1" selected="0">
            <x v="322"/>
          </reference>
        </references>
      </pivotArea>
    </chartFormat>
    <chartFormat chart="2" format="405" series="1">
      <pivotArea type="data" outline="0" fieldPosition="0">
        <references count="2">
          <reference field="4294967294" count="1" selected="0">
            <x v="0"/>
          </reference>
          <reference field="1" count="1" selected="0">
            <x v="311"/>
          </reference>
        </references>
      </pivotArea>
    </chartFormat>
    <chartFormat chart="2" format="406" series="1">
      <pivotArea type="data" outline="0" fieldPosition="0">
        <references count="2">
          <reference field="4294967294" count="1" selected="0">
            <x v="0"/>
          </reference>
          <reference field="1" count="1" selected="0">
            <x v="312"/>
          </reference>
        </references>
      </pivotArea>
    </chartFormat>
    <chartFormat chart="2" format="407" series="1">
      <pivotArea type="data" outline="0" fieldPosition="0">
        <references count="2">
          <reference field="4294967294" count="1" selected="0">
            <x v="0"/>
          </reference>
          <reference field="1" count="1" selected="0">
            <x v="313"/>
          </reference>
        </references>
      </pivotArea>
    </chartFormat>
    <chartFormat chart="2" format="408" series="1">
      <pivotArea type="data" outline="0" fieldPosition="0">
        <references count="2">
          <reference field="4294967294" count="1" selected="0">
            <x v="0"/>
          </reference>
          <reference field="1" count="1" selected="0">
            <x v="326"/>
          </reference>
        </references>
      </pivotArea>
    </chartFormat>
    <chartFormat chart="2" format="409" series="1">
      <pivotArea type="data" outline="0" fieldPosition="0">
        <references count="2">
          <reference field="4294967294" count="1" selected="0">
            <x v="0"/>
          </reference>
          <reference field="1" count="1" selected="0">
            <x v="327"/>
          </reference>
        </references>
      </pivotArea>
    </chartFormat>
    <chartFormat chart="2" format="410" series="1">
      <pivotArea type="data" outline="0" fieldPosition="0">
        <references count="2">
          <reference field="4294967294" count="1" selected="0">
            <x v="0"/>
          </reference>
          <reference field="1" count="1" selected="0">
            <x v="328"/>
          </reference>
        </references>
      </pivotArea>
    </chartFormat>
    <chartFormat chart="2" format="411" series="1">
      <pivotArea type="data" outline="0" fieldPosition="0">
        <references count="2">
          <reference field="4294967294" count="1" selected="0">
            <x v="0"/>
          </reference>
          <reference field="1" count="1" selected="0">
            <x v="329"/>
          </reference>
        </references>
      </pivotArea>
    </chartFormat>
    <chartFormat chart="2" format="412" series="1">
      <pivotArea type="data" outline="0" fieldPosition="0">
        <references count="2">
          <reference field="4294967294" count="1" selected="0">
            <x v="0"/>
          </reference>
          <reference field="1" count="1" selected="0">
            <x v="323"/>
          </reference>
        </references>
      </pivotArea>
    </chartFormat>
    <chartFormat chart="2" format="413" series="1">
      <pivotArea type="data" outline="0" fieldPosition="0">
        <references count="2">
          <reference field="4294967294" count="1" selected="0">
            <x v="0"/>
          </reference>
          <reference field="1" count="1" selected="0">
            <x v="324"/>
          </reference>
        </references>
      </pivotArea>
    </chartFormat>
    <chartFormat chart="2" format="414" series="1">
      <pivotArea type="data" outline="0" fieldPosition="0">
        <references count="2">
          <reference field="4294967294" count="1" selected="0">
            <x v="0"/>
          </reference>
          <reference field="1" count="1" selected="0">
            <x v="325"/>
          </reference>
        </references>
      </pivotArea>
    </chartFormat>
    <chartFormat chart="2" format="415" series="1">
      <pivotArea type="data" outline="0" fieldPosition="0">
        <references count="2">
          <reference field="4294967294" count="1" selected="0">
            <x v="0"/>
          </reference>
          <reference field="1" count="1" selected="0">
            <x v="330"/>
          </reference>
        </references>
      </pivotArea>
    </chartFormat>
    <chartFormat chart="2" format="416" series="1">
      <pivotArea type="data" outline="0" fieldPosition="0">
        <references count="2">
          <reference field="4294967294" count="1" selected="0">
            <x v="0"/>
          </reference>
          <reference field="1" count="1" selected="0">
            <x v="334"/>
          </reference>
        </references>
      </pivotArea>
    </chartFormat>
    <chartFormat chart="2" format="417" series="1">
      <pivotArea type="data" outline="0" fieldPosition="0">
        <references count="2">
          <reference field="4294967294" count="1" selected="0">
            <x v="0"/>
          </reference>
          <reference field="1" count="1" selected="0">
            <x v="335"/>
          </reference>
        </references>
      </pivotArea>
    </chartFormat>
    <chartFormat chart="2" format="418" series="1">
      <pivotArea type="data" outline="0" fieldPosition="0">
        <references count="2">
          <reference field="4294967294" count="1" selected="0">
            <x v="0"/>
          </reference>
          <reference field="1" count="1" selected="0">
            <x v="331"/>
          </reference>
        </references>
      </pivotArea>
    </chartFormat>
    <chartFormat chart="2" format="419" series="1">
      <pivotArea type="data" outline="0" fieldPosition="0">
        <references count="2">
          <reference field="4294967294" count="1" selected="0">
            <x v="0"/>
          </reference>
          <reference field="1" count="1" selected="0">
            <x v="332"/>
          </reference>
        </references>
      </pivotArea>
    </chartFormat>
    <chartFormat chart="2" format="420" series="1">
      <pivotArea type="data" outline="0" fieldPosition="0">
        <references count="2">
          <reference field="4294967294" count="1" selected="0">
            <x v="0"/>
          </reference>
          <reference field="1" count="1" selected="0">
            <x v="333"/>
          </reference>
        </references>
      </pivotArea>
    </chartFormat>
    <chartFormat chart="2" format="421" series="1">
      <pivotArea type="data" outline="0" fieldPosition="0">
        <references count="2">
          <reference field="4294967294" count="1" selected="0">
            <x v="0"/>
          </reference>
          <reference field="1" count="1" selected="0">
            <x v="339"/>
          </reference>
        </references>
      </pivotArea>
    </chartFormat>
    <chartFormat chart="2" format="422" series="1">
      <pivotArea type="data" outline="0" fieldPosition="0">
        <references count="2">
          <reference field="4294967294" count="1" selected="0">
            <x v="0"/>
          </reference>
          <reference field="1" count="1" selected="0">
            <x v="340"/>
          </reference>
        </references>
      </pivotArea>
    </chartFormat>
    <chartFormat chart="2" format="423" series="1">
      <pivotArea type="data" outline="0" fieldPosition="0">
        <references count="2">
          <reference field="4294967294" count="1" selected="0">
            <x v="0"/>
          </reference>
          <reference field="1" count="1" selected="0">
            <x v="341"/>
          </reference>
        </references>
      </pivotArea>
    </chartFormat>
    <chartFormat chart="2" format="424" series="1">
      <pivotArea type="data" outline="0" fieldPosition="0">
        <references count="2">
          <reference field="4294967294" count="1" selected="0">
            <x v="0"/>
          </reference>
          <reference field="1" count="1" selected="0">
            <x v="342"/>
          </reference>
        </references>
      </pivotArea>
    </chartFormat>
    <chartFormat chart="2" format="425" series="1">
      <pivotArea type="data" outline="0" fieldPosition="0">
        <references count="2">
          <reference field="4294967294" count="1" selected="0">
            <x v="0"/>
          </reference>
          <reference field="1" count="1" selected="0">
            <x v="343"/>
          </reference>
        </references>
      </pivotArea>
    </chartFormat>
    <chartFormat chart="2" format="426" series="1">
      <pivotArea type="data" outline="0" fieldPosition="0">
        <references count="2">
          <reference field="4294967294" count="1" selected="0">
            <x v="0"/>
          </reference>
          <reference field="1" count="1" selected="0">
            <x v="344"/>
          </reference>
        </references>
      </pivotArea>
    </chartFormat>
    <chartFormat chart="2" format="427" series="1">
      <pivotArea type="data" outline="0" fieldPosition="0">
        <references count="2">
          <reference field="4294967294" count="1" selected="0">
            <x v="0"/>
          </reference>
          <reference field="1" count="1" selected="0">
            <x v="345"/>
          </reference>
        </references>
      </pivotArea>
    </chartFormat>
    <chartFormat chart="2" format="428" series="1">
      <pivotArea type="data" outline="0" fieldPosition="0">
        <references count="2">
          <reference field="4294967294" count="1" selected="0">
            <x v="0"/>
          </reference>
          <reference field="1" count="1" selected="0">
            <x v="346"/>
          </reference>
        </references>
      </pivotArea>
    </chartFormat>
    <chartFormat chart="2" format="429" series="1">
      <pivotArea type="data" outline="0" fieldPosition="0">
        <references count="2">
          <reference field="4294967294" count="1" selected="0">
            <x v="0"/>
          </reference>
          <reference field="1" count="1" selected="0">
            <x v="336"/>
          </reference>
        </references>
      </pivotArea>
    </chartFormat>
    <chartFormat chart="2" format="430" series="1">
      <pivotArea type="data" outline="0" fieldPosition="0">
        <references count="2">
          <reference field="4294967294" count="1" selected="0">
            <x v="0"/>
          </reference>
          <reference field="1" count="1" selected="0">
            <x v="337"/>
          </reference>
        </references>
      </pivotArea>
    </chartFormat>
    <chartFormat chart="2" format="431" series="1">
      <pivotArea type="data" outline="0" fieldPosition="0">
        <references count="2">
          <reference field="4294967294" count="1" selected="0">
            <x v="0"/>
          </reference>
          <reference field="1" count="1" selected="0">
            <x v="338"/>
          </reference>
        </references>
      </pivotArea>
    </chartFormat>
    <chartFormat chart="2" format="432" series="1">
      <pivotArea type="data" outline="0" fieldPosition="0">
        <references count="2">
          <reference field="4294967294" count="1" selected="0">
            <x v="0"/>
          </reference>
          <reference field="1" count="1" selected="0">
            <x v="350"/>
          </reference>
        </references>
      </pivotArea>
    </chartFormat>
    <chartFormat chart="2" format="433" series="1">
      <pivotArea type="data" outline="0" fieldPosition="0">
        <references count="2">
          <reference field="4294967294" count="1" selected="0">
            <x v="0"/>
          </reference>
          <reference field="1" count="1" selected="0">
            <x v="351"/>
          </reference>
        </references>
      </pivotArea>
    </chartFormat>
    <chartFormat chart="2" format="434" series="1">
      <pivotArea type="data" outline="0" fieldPosition="0">
        <references count="2">
          <reference field="4294967294" count="1" selected="0">
            <x v="0"/>
          </reference>
          <reference field="1" count="1" selected="0">
            <x v="352"/>
          </reference>
        </references>
      </pivotArea>
    </chartFormat>
    <chartFormat chart="2" format="435" series="1">
      <pivotArea type="data" outline="0" fieldPosition="0">
        <references count="2">
          <reference field="4294967294" count="1" selected="0">
            <x v="0"/>
          </reference>
          <reference field="1" count="1" selected="0">
            <x v="353"/>
          </reference>
        </references>
      </pivotArea>
    </chartFormat>
    <chartFormat chart="2" format="436" series="1">
      <pivotArea type="data" outline="0" fieldPosition="0">
        <references count="2">
          <reference field="4294967294" count="1" selected="0">
            <x v="0"/>
          </reference>
          <reference field="1" count="1" selected="0">
            <x v="354"/>
          </reference>
        </references>
      </pivotArea>
    </chartFormat>
    <chartFormat chart="2" format="437" series="1">
      <pivotArea type="data" outline="0" fieldPosition="0">
        <references count="2">
          <reference field="4294967294" count="1" selected="0">
            <x v="0"/>
          </reference>
          <reference field="1" count="1" selected="0">
            <x v="355"/>
          </reference>
        </references>
      </pivotArea>
    </chartFormat>
    <chartFormat chart="2" format="438" series="1">
      <pivotArea type="data" outline="0" fieldPosition="0">
        <references count="2">
          <reference field="4294967294" count="1" selected="0">
            <x v="0"/>
          </reference>
          <reference field="1" count="1" selected="0">
            <x v="356"/>
          </reference>
        </references>
      </pivotArea>
    </chartFormat>
    <chartFormat chart="2" format="439" series="1">
      <pivotArea type="data" outline="0" fieldPosition="0">
        <references count="2">
          <reference field="4294967294" count="1" selected="0">
            <x v="0"/>
          </reference>
          <reference field="1" count="1" selected="0">
            <x v="357"/>
          </reference>
        </references>
      </pivotArea>
    </chartFormat>
    <chartFormat chart="2" format="440" series="1">
      <pivotArea type="data" outline="0" fieldPosition="0">
        <references count="2">
          <reference field="4294967294" count="1" selected="0">
            <x v="0"/>
          </reference>
          <reference field="1" count="1" selected="0">
            <x v="358"/>
          </reference>
        </references>
      </pivotArea>
    </chartFormat>
    <chartFormat chart="2" format="441" series="1">
      <pivotArea type="data" outline="0" fieldPosition="0">
        <references count="2">
          <reference field="4294967294" count="1" selected="0">
            <x v="0"/>
          </reference>
          <reference field="1" count="1" selected="0">
            <x v="347"/>
          </reference>
        </references>
      </pivotArea>
    </chartFormat>
    <chartFormat chart="2" format="442" series="1">
      <pivotArea type="data" outline="0" fieldPosition="0">
        <references count="2">
          <reference field="4294967294" count="1" selected="0">
            <x v="0"/>
          </reference>
          <reference field="1" count="1" selected="0">
            <x v="348"/>
          </reference>
        </references>
      </pivotArea>
    </chartFormat>
    <chartFormat chart="2" format="443" series="1">
      <pivotArea type="data" outline="0" fieldPosition="0">
        <references count="2">
          <reference field="4294967294" count="1" selected="0">
            <x v="0"/>
          </reference>
          <reference field="1" count="1" selected="0">
            <x v="349"/>
          </reference>
        </references>
      </pivotArea>
    </chartFormat>
    <chartFormat chart="2" format="444" series="1">
      <pivotArea type="data" outline="0" fieldPosition="0">
        <references count="2">
          <reference field="4294967294" count="1" selected="0">
            <x v="0"/>
          </reference>
          <reference field="1" count="1" selected="0">
            <x v="359"/>
          </reference>
        </references>
      </pivotArea>
    </chartFormat>
    <chartFormat chart="2" format="445" series="1">
      <pivotArea type="data" outline="0" fieldPosition="0">
        <references count="2">
          <reference field="4294967294" count="1" selected="0">
            <x v="0"/>
          </reference>
          <reference field="1" count="1" selected="0">
            <x v="363"/>
          </reference>
        </references>
      </pivotArea>
    </chartFormat>
    <chartFormat chart="2" format="446" series="1">
      <pivotArea type="data" outline="0" fieldPosition="0">
        <references count="2">
          <reference field="4294967294" count="1" selected="0">
            <x v="0"/>
          </reference>
          <reference field="1" count="1" selected="0">
            <x v="360"/>
          </reference>
        </references>
      </pivotArea>
    </chartFormat>
    <chartFormat chart="2" format="447" series="1">
      <pivotArea type="data" outline="0" fieldPosition="0">
        <references count="2">
          <reference field="4294967294" count="1" selected="0">
            <x v="0"/>
          </reference>
          <reference field="1" count="1" selected="0">
            <x v="361"/>
          </reference>
        </references>
      </pivotArea>
    </chartFormat>
    <chartFormat chart="2" format="448" series="1">
      <pivotArea type="data" outline="0" fieldPosition="0">
        <references count="2">
          <reference field="4294967294" count="1" selected="0">
            <x v="0"/>
          </reference>
          <reference field="1" count="1" selected="0">
            <x v="362"/>
          </reference>
        </references>
      </pivotArea>
    </chartFormat>
    <chartFormat chart="2" format="449" series="1">
      <pivotArea type="data" outline="0" fieldPosition="0">
        <references count="2">
          <reference field="4294967294" count="1" selected="0">
            <x v="0"/>
          </reference>
          <reference field="1" count="1" selected="0">
            <x v="367"/>
          </reference>
        </references>
      </pivotArea>
    </chartFormat>
    <chartFormat chart="2" format="450" series="1">
      <pivotArea type="data" outline="0" fieldPosition="0">
        <references count="2">
          <reference field="4294967294" count="1" selected="0">
            <x v="0"/>
          </reference>
          <reference field="1" count="1" selected="0">
            <x v="368"/>
          </reference>
        </references>
      </pivotArea>
    </chartFormat>
    <chartFormat chart="2" format="451" series="1">
      <pivotArea type="data" outline="0" fieldPosition="0">
        <references count="2">
          <reference field="4294967294" count="1" selected="0">
            <x v="0"/>
          </reference>
          <reference field="1" count="1" selected="0">
            <x v="369"/>
          </reference>
        </references>
      </pivotArea>
    </chartFormat>
    <chartFormat chart="2" format="452" series="1">
      <pivotArea type="data" outline="0" fieldPosition="0">
        <references count="2">
          <reference field="4294967294" count="1" selected="0">
            <x v="0"/>
          </reference>
          <reference field="1" count="1" selected="0">
            <x v="370"/>
          </reference>
        </references>
      </pivotArea>
    </chartFormat>
    <chartFormat chart="2" format="453" series="1">
      <pivotArea type="data" outline="0" fieldPosition="0">
        <references count="2">
          <reference field="4294967294" count="1" selected="0">
            <x v="0"/>
          </reference>
          <reference field="1" count="1" selected="0">
            <x v="371"/>
          </reference>
        </references>
      </pivotArea>
    </chartFormat>
    <chartFormat chart="2" format="454" series="1">
      <pivotArea type="data" outline="0" fieldPosition="0">
        <references count="2">
          <reference field="4294967294" count="1" selected="0">
            <x v="0"/>
          </reference>
          <reference field="1" count="1" selected="0">
            <x v="364"/>
          </reference>
        </references>
      </pivotArea>
    </chartFormat>
    <chartFormat chart="2" format="455" series="1">
      <pivotArea type="data" outline="0" fieldPosition="0">
        <references count="2">
          <reference field="4294967294" count="1" selected="0">
            <x v="0"/>
          </reference>
          <reference field="1" count="1" selected="0">
            <x v="365"/>
          </reference>
        </references>
      </pivotArea>
    </chartFormat>
    <chartFormat chart="2" format="456" series="1">
      <pivotArea type="data" outline="0" fieldPosition="0">
        <references count="2">
          <reference field="4294967294" count="1" selected="0">
            <x v="0"/>
          </reference>
          <reference field="1" count="1" selected="0">
            <x v="366"/>
          </reference>
        </references>
      </pivotArea>
    </chartFormat>
    <chartFormat chart="2" format="457" series="1">
      <pivotArea type="data" outline="0" fieldPosition="0">
        <references count="2">
          <reference field="4294967294" count="1" selected="0">
            <x v="0"/>
          </reference>
          <reference field="1" count="1" selected="0">
            <x v="375"/>
          </reference>
        </references>
      </pivotArea>
    </chartFormat>
    <chartFormat chart="2" format="458" series="1">
      <pivotArea type="data" outline="0" fieldPosition="0">
        <references count="2">
          <reference field="4294967294" count="1" selected="0">
            <x v="0"/>
          </reference>
          <reference field="1" count="1" selected="0">
            <x v="376"/>
          </reference>
        </references>
      </pivotArea>
    </chartFormat>
    <chartFormat chart="2" format="459" series="1">
      <pivotArea type="data" outline="0" fieldPosition="0">
        <references count="2">
          <reference field="4294967294" count="1" selected="0">
            <x v="0"/>
          </reference>
          <reference field="1" count="1" selected="0">
            <x v="377"/>
          </reference>
        </references>
      </pivotArea>
    </chartFormat>
    <chartFormat chart="2" format="460" series="1">
      <pivotArea type="data" outline="0" fieldPosition="0">
        <references count="2">
          <reference field="4294967294" count="1" selected="0">
            <x v="0"/>
          </reference>
          <reference field="1" count="1" selected="0">
            <x v="378"/>
          </reference>
        </references>
      </pivotArea>
    </chartFormat>
    <chartFormat chart="2" format="461" series="1">
      <pivotArea type="data" outline="0" fieldPosition="0">
        <references count="2">
          <reference field="4294967294" count="1" selected="0">
            <x v="0"/>
          </reference>
          <reference field="1" count="1" selected="0">
            <x v="379"/>
          </reference>
        </references>
      </pivotArea>
    </chartFormat>
    <chartFormat chart="2" format="462" series="1">
      <pivotArea type="data" outline="0" fieldPosition="0">
        <references count="2">
          <reference field="4294967294" count="1" selected="0">
            <x v="0"/>
          </reference>
          <reference field="1" count="1" selected="0">
            <x v="380"/>
          </reference>
        </references>
      </pivotArea>
    </chartFormat>
    <chartFormat chart="2" format="463" series="1">
      <pivotArea type="data" outline="0" fieldPosition="0">
        <references count="2">
          <reference field="4294967294" count="1" selected="0">
            <x v="0"/>
          </reference>
          <reference field="1" count="1" selected="0">
            <x v="381"/>
          </reference>
        </references>
      </pivotArea>
    </chartFormat>
    <chartFormat chart="2" format="464" series="1">
      <pivotArea type="data" outline="0" fieldPosition="0">
        <references count="2">
          <reference field="4294967294" count="1" selected="0">
            <x v="0"/>
          </reference>
          <reference field="1" count="1" selected="0">
            <x v="382"/>
          </reference>
        </references>
      </pivotArea>
    </chartFormat>
    <chartFormat chart="2" format="465" series="1">
      <pivotArea type="data" outline="0" fieldPosition="0">
        <references count="2">
          <reference field="4294967294" count="1" selected="0">
            <x v="0"/>
          </reference>
          <reference field="1" count="1" selected="0">
            <x v="383"/>
          </reference>
        </references>
      </pivotArea>
    </chartFormat>
    <chartFormat chart="2" format="466" series="1">
      <pivotArea type="data" outline="0" fieldPosition="0">
        <references count="2">
          <reference field="4294967294" count="1" selected="0">
            <x v="0"/>
          </reference>
          <reference field="1" count="1" selected="0">
            <x v="384"/>
          </reference>
        </references>
      </pivotArea>
    </chartFormat>
    <chartFormat chart="2" format="467" series="1">
      <pivotArea type="data" outline="0" fieldPosition="0">
        <references count="2">
          <reference field="4294967294" count="1" selected="0">
            <x v="0"/>
          </reference>
          <reference field="1" count="1" selected="0">
            <x v="372"/>
          </reference>
        </references>
      </pivotArea>
    </chartFormat>
    <chartFormat chart="2" format="468" series="1">
      <pivotArea type="data" outline="0" fieldPosition="0">
        <references count="2">
          <reference field="4294967294" count="1" selected="0">
            <x v="0"/>
          </reference>
          <reference field="1" count="1" selected="0">
            <x v="373"/>
          </reference>
        </references>
      </pivotArea>
    </chartFormat>
    <chartFormat chart="2" format="469" series="1">
      <pivotArea type="data" outline="0" fieldPosition="0">
        <references count="2">
          <reference field="4294967294" count="1" selected="0">
            <x v="0"/>
          </reference>
          <reference field="1" count="1" selected="0">
            <x v="374"/>
          </reference>
        </references>
      </pivotArea>
    </chartFormat>
    <chartFormat chart="2" format="470" series="1">
      <pivotArea type="data" outline="0" fieldPosition="0">
        <references count="2">
          <reference field="4294967294" count="1" selected="0">
            <x v="0"/>
          </reference>
          <reference field="1" count="1" selected="0">
            <x v="385"/>
          </reference>
        </references>
      </pivotArea>
    </chartFormat>
    <chartFormat chart="2" format="471" series="1">
      <pivotArea type="data" outline="0" fieldPosition="0">
        <references count="2">
          <reference field="4294967294" count="1" selected="0">
            <x v="0"/>
          </reference>
          <reference field="1" count="1" selected="0">
            <x v="386"/>
          </reference>
        </references>
      </pivotArea>
    </chartFormat>
    <chartFormat chart="2" format="472" series="1">
      <pivotArea type="data" outline="0" fieldPosition="0">
        <references count="2">
          <reference field="4294967294" count="1" selected="0">
            <x v="0"/>
          </reference>
          <reference field="1" count="1" selected="0">
            <x v="387"/>
          </reference>
        </references>
      </pivotArea>
    </chartFormat>
    <chartFormat chart="2" format="473" series="1">
      <pivotArea type="data" outline="0" fieldPosition="0">
        <references count="2">
          <reference field="4294967294" count="1" selected="0">
            <x v="0"/>
          </reference>
          <reference field="1" count="1" selected="0">
            <x v="392"/>
          </reference>
        </references>
      </pivotArea>
    </chartFormat>
    <chartFormat chart="2" format="474" series="1">
      <pivotArea type="data" outline="0" fieldPosition="0">
        <references count="2">
          <reference field="4294967294" count="1" selected="0">
            <x v="0"/>
          </reference>
          <reference field="1" count="1" selected="0">
            <x v="393"/>
          </reference>
        </references>
      </pivotArea>
    </chartFormat>
    <chartFormat chart="2" format="475" series="1">
      <pivotArea type="data" outline="0" fieldPosition="0">
        <references count="2">
          <reference field="4294967294" count="1" selected="0">
            <x v="0"/>
          </reference>
          <reference field="1" count="1" selected="0">
            <x v="394"/>
          </reference>
        </references>
      </pivotArea>
    </chartFormat>
    <chartFormat chart="2" format="476" series="1">
      <pivotArea type="data" outline="0" fieldPosition="0">
        <references count="2">
          <reference field="4294967294" count="1" selected="0">
            <x v="0"/>
          </reference>
          <reference field="1" count="1" selected="0">
            <x v="395"/>
          </reference>
        </references>
      </pivotArea>
    </chartFormat>
    <chartFormat chart="2" format="477" series="1">
      <pivotArea type="data" outline="0" fieldPosition="0">
        <references count="2">
          <reference field="4294967294" count="1" selected="0">
            <x v="0"/>
          </reference>
          <reference field="1" count="1" selected="0">
            <x v="396"/>
          </reference>
        </references>
      </pivotArea>
    </chartFormat>
    <chartFormat chart="2" format="478" series="1">
      <pivotArea type="data" outline="0" fieldPosition="0">
        <references count="2">
          <reference field="4294967294" count="1" selected="0">
            <x v="0"/>
          </reference>
          <reference field="1" count="1" selected="0">
            <x v="397"/>
          </reference>
        </references>
      </pivotArea>
    </chartFormat>
    <chartFormat chart="2" format="479" series="1">
      <pivotArea type="data" outline="0" fieldPosition="0">
        <references count="2">
          <reference field="4294967294" count="1" selected="0">
            <x v="0"/>
          </reference>
          <reference field="1" count="1" selected="0">
            <x v="398"/>
          </reference>
        </references>
      </pivotArea>
    </chartFormat>
    <chartFormat chart="2" format="480" series="1">
      <pivotArea type="data" outline="0" fieldPosition="0">
        <references count="2">
          <reference field="4294967294" count="1" selected="0">
            <x v="0"/>
          </reference>
          <reference field="1" count="1" selected="0">
            <x v="399"/>
          </reference>
        </references>
      </pivotArea>
    </chartFormat>
    <chartFormat chart="2" format="481" series="1">
      <pivotArea type="data" outline="0" fieldPosition="0">
        <references count="2">
          <reference field="4294967294" count="1" selected="0">
            <x v="0"/>
          </reference>
          <reference field="1" count="1" selected="0">
            <x v="400"/>
          </reference>
        </references>
      </pivotArea>
    </chartFormat>
    <chartFormat chart="2" format="482" series="1">
      <pivotArea type="data" outline="0" fieldPosition="0">
        <references count="2">
          <reference field="4294967294" count="1" selected="0">
            <x v="0"/>
          </reference>
          <reference field="1" count="1" selected="0">
            <x v="401"/>
          </reference>
        </references>
      </pivotArea>
    </chartFormat>
    <chartFormat chart="2" format="483" series="1">
      <pivotArea type="data" outline="0" fieldPosition="0">
        <references count="2">
          <reference field="4294967294" count="1" selected="0">
            <x v="0"/>
          </reference>
          <reference field="1" count="1" selected="0">
            <x v="402"/>
          </reference>
        </references>
      </pivotArea>
    </chartFormat>
    <chartFormat chart="2" format="484" series="1">
      <pivotArea type="data" outline="0" fieldPosition="0">
        <references count="2">
          <reference field="4294967294" count="1" selected="0">
            <x v="0"/>
          </reference>
          <reference field="1" count="1" selected="0">
            <x v="403"/>
          </reference>
        </references>
      </pivotArea>
    </chartFormat>
    <chartFormat chart="2" format="485" series="1">
      <pivotArea type="data" outline="0" fieldPosition="0">
        <references count="2">
          <reference field="4294967294" count="1" selected="0">
            <x v="0"/>
          </reference>
          <reference field="1" count="1" selected="0">
            <x v="404"/>
          </reference>
        </references>
      </pivotArea>
    </chartFormat>
    <chartFormat chart="2" format="486" series="1">
      <pivotArea type="data" outline="0" fieldPosition="0">
        <references count="2">
          <reference field="4294967294" count="1" selected="0">
            <x v="0"/>
          </reference>
          <reference field="1" count="1" selected="0">
            <x v="405"/>
          </reference>
        </references>
      </pivotArea>
    </chartFormat>
    <chartFormat chart="2" format="487" series="1">
      <pivotArea type="data" outline="0" fieldPosition="0">
        <references count="2">
          <reference field="4294967294" count="1" selected="0">
            <x v="0"/>
          </reference>
          <reference field="1" count="1" selected="0">
            <x v="409"/>
          </reference>
        </references>
      </pivotArea>
    </chartFormat>
    <chartFormat chart="2" format="488" series="1">
      <pivotArea type="data" outline="0" fieldPosition="0">
        <references count="2">
          <reference field="4294967294" count="1" selected="0">
            <x v="0"/>
          </reference>
          <reference field="1" count="1" selected="0">
            <x v="410"/>
          </reference>
        </references>
      </pivotArea>
    </chartFormat>
    <chartFormat chart="2" format="489" series="1">
      <pivotArea type="data" outline="0" fieldPosition="0">
        <references count="2">
          <reference field="4294967294" count="1" selected="0">
            <x v="0"/>
          </reference>
          <reference field="1" count="1" selected="0">
            <x v="411"/>
          </reference>
        </references>
      </pivotArea>
    </chartFormat>
    <chartFormat chart="2" format="490" series="1">
      <pivotArea type="data" outline="0" fieldPosition="0">
        <references count="2">
          <reference field="4294967294" count="1" selected="0">
            <x v="0"/>
          </reference>
          <reference field="1" count="1" selected="0">
            <x v="412"/>
          </reference>
        </references>
      </pivotArea>
    </chartFormat>
    <chartFormat chart="2" format="491" series="1">
      <pivotArea type="data" outline="0" fieldPosition="0">
        <references count="2">
          <reference field="4294967294" count="1" selected="0">
            <x v="0"/>
          </reference>
          <reference field="1" count="1" selected="0">
            <x v="413"/>
          </reference>
        </references>
      </pivotArea>
    </chartFormat>
    <chartFormat chart="2" format="492" series="1">
      <pivotArea type="data" outline="0" fieldPosition="0">
        <references count="2">
          <reference field="4294967294" count="1" selected="0">
            <x v="0"/>
          </reference>
          <reference field="1" count="1" selected="0">
            <x v="406"/>
          </reference>
        </references>
      </pivotArea>
    </chartFormat>
    <chartFormat chart="2" format="493" series="1">
      <pivotArea type="data" outline="0" fieldPosition="0">
        <references count="2">
          <reference field="4294967294" count="1" selected="0">
            <x v="0"/>
          </reference>
          <reference field="1" count="1" selected="0">
            <x v="407"/>
          </reference>
        </references>
      </pivotArea>
    </chartFormat>
    <chartFormat chart="2" format="494" series="1">
      <pivotArea type="data" outline="0" fieldPosition="0">
        <references count="2">
          <reference field="4294967294" count="1" selected="0">
            <x v="0"/>
          </reference>
          <reference field="1" count="1" selected="0">
            <x v="408"/>
          </reference>
        </references>
      </pivotArea>
    </chartFormat>
    <chartFormat chart="2" format="495" series="1">
      <pivotArea type="data" outline="0" fieldPosition="0">
        <references count="2">
          <reference field="4294967294" count="1" selected="0">
            <x v="0"/>
          </reference>
          <reference field="1" count="1" selected="0">
            <x v="417"/>
          </reference>
        </references>
      </pivotArea>
    </chartFormat>
    <chartFormat chart="2" format="496" series="1">
      <pivotArea type="data" outline="0" fieldPosition="0">
        <references count="2">
          <reference field="4294967294" count="1" selected="0">
            <x v="0"/>
          </reference>
          <reference field="1" count="1" selected="0">
            <x v="418"/>
          </reference>
        </references>
      </pivotArea>
    </chartFormat>
    <chartFormat chart="2" format="497" series="1">
      <pivotArea type="data" outline="0" fieldPosition="0">
        <references count="2">
          <reference field="4294967294" count="1" selected="0">
            <x v="0"/>
          </reference>
          <reference field="1" count="1" selected="0">
            <x v="419"/>
          </reference>
        </references>
      </pivotArea>
    </chartFormat>
    <chartFormat chart="2" format="498" series="1">
      <pivotArea type="data" outline="0" fieldPosition="0">
        <references count="2">
          <reference field="4294967294" count="1" selected="0">
            <x v="0"/>
          </reference>
          <reference field="1" count="1" selected="0">
            <x v="414"/>
          </reference>
        </references>
      </pivotArea>
    </chartFormat>
    <chartFormat chart="2" format="499" series="1">
      <pivotArea type="data" outline="0" fieldPosition="0">
        <references count="2">
          <reference field="4294967294" count="1" selected="0">
            <x v="0"/>
          </reference>
          <reference field="1" count="1" selected="0">
            <x v="415"/>
          </reference>
        </references>
      </pivotArea>
    </chartFormat>
    <chartFormat chart="2" format="500" series="1">
      <pivotArea type="data" outline="0" fieldPosition="0">
        <references count="2">
          <reference field="4294967294" count="1" selected="0">
            <x v="0"/>
          </reference>
          <reference field="1" count="1" selected="0">
            <x v="416"/>
          </reference>
        </references>
      </pivotArea>
    </chartFormat>
    <chartFormat chart="2" format="501" series="1">
      <pivotArea type="data" outline="0" fieldPosition="0">
        <references count="2">
          <reference field="4294967294" count="1" selected="0">
            <x v="0"/>
          </reference>
          <reference field="1" count="1" selected="0">
            <x v="423"/>
          </reference>
        </references>
      </pivotArea>
    </chartFormat>
    <chartFormat chart="2" format="502" series="1">
      <pivotArea type="data" outline="0" fieldPosition="0">
        <references count="2">
          <reference field="4294967294" count="1" selected="0">
            <x v="0"/>
          </reference>
          <reference field="1" count="1" selected="0">
            <x v="424"/>
          </reference>
        </references>
      </pivotArea>
    </chartFormat>
    <chartFormat chart="2" format="503" series="1">
      <pivotArea type="data" outline="0" fieldPosition="0">
        <references count="2">
          <reference field="4294967294" count="1" selected="0">
            <x v="0"/>
          </reference>
          <reference field="1" count="1" selected="0">
            <x v="425"/>
          </reference>
        </references>
      </pivotArea>
    </chartFormat>
    <chartFormat chart="2" format="504" series="1">
      <pivotArea type="data" outline="0" fieldPosition="0">
        <references count="2">
          <reference field="4294967294" count="1" selected="0">
            <x v="0"/>
          </reference>
          <reference field="1" count="1" selected="0">
            <x v="426"/>
          </reference>
        </references>
      </pivotArea>
    </chartFormat>
    <chartFormat chart="2" format="505" series="1">
      <pivotArea type="data" outline="0" fieldPosition="0">
        <references count="2">
          <reference field="4294967294" count="1" selected="0">
            <x v="0"/>
          </reference>
          <reference field="1" count="1" selected="0">
            <x v="420"/>
          </reference>
        </references>
      </pivotArea>
    </chartFormat>
    <chartFormat chart="2" format="506" series="1">
      <pivotArea type="data" outline="0" fieldPosition="0">
        <references count="2">
          <reference field="4294967294" count="1" selected="0">
            <x v="0"/>
          </reference>
          <reference field="1" count="1" selected="0">
            <x v="421"/>
          </reference>
        </references>
      </pivotArea>
    </chartFormat>
    <chartFormat chart="2" format="507" series="1">
      <pivotArea type="data" outline="0" fieldPosition="0">
        <references count="2">
          <reference field="4294967294" count="1" selected="0">
            <x v="0"/>
          </reference>
          <reference field="1" count="1" selected="0">
            <x v="422"/>
          </reference>
        </references>
      </pivotArea>
    </chartFormat>
    <chartFormat chart="2" format="508" series="1">
      <pivotArea type="data" outline="0" fieldPosition="0">
        <references count="2">
          <reference field="4294967294" count="1" selected="0">
            <x v="0"/>
          </reference>
          <reference field="1" count="1" selected="0">
            <x v="430"/>
          </reference>
        </references>
      </pivotArea>
    </chartFormat>
    <chartFormat chart="2" format="509" series="1">
      <pivotArea type="data" outline="0" fieldPosition="0">
        <references count="2">
          <reference field="4294967294" count="1" selected="0">
            <x v="0"/>
          </reference>
          <reference field="1" count="1" selected="0">
            <x v="431"/>
          </reference>
        </references>
      </pivotArea>
    </chartFormat>
    <chartFormat chart="2" format="510" series="1">
      <pivotArea type="data" outline="0" fieldPosition="0">
        <references count="2">
          <reference field="4294967294" count="1" selected="0">
            <x v="0"/>
          </reference>
          <reference field="1" count="1" selected="0">
            <x v="432"/>
          </reference>
        </references>
      </pivotArea>
    </chartFormat>
    <chartFormat chart="2" format="511" series="1">
      <pivotArea type="data" outline="0" fieldPosition="0">
        <references count="2">
          <reference field="4294967294" count="1" selected="0">
            <x v="0"/>
          </reference>
          <reference field="1" count="1" selected="0">
            <x v="433"/>
          </reference>
        </references>
      </pivotArea>
    </chartFormat>
    <chartFormat chart="2" format="512" series="1">
      <pivotArea type="data" outline="0" fieldPosition="0">
        <references count="2">
          <reference field="4294967294" count="1" selected="0">
            <x v="0"/>
          </reference>
          <reference field="1" count="1" selected="0">
            <x v="434"/>
          </reference>
        </references>
      </pivotArea>
    </chartFormat>
    <chartFormat chart="2" format="513" series="1">
      <pivotArea type="data" outline="0" fieldPosition="0">
        <references count="2">
          <reference field="4294967294" count="1" selected="0">
            <x v="0"/>
          </reference>
          <reference field="1" count="1" selected="0">
            <x v="435"/>
          </reference>
        </references>
      </pivotArea>
    </chartFormat>
    <chartFormat chart="2" format="514" series="1">
      <pivotArea type="data" outline="0" fieldPosition="0">
        <references count="2">
          <reference field="4294967294" count="1" selected="0">
            <x v="0"/>
          </reference>
          <reference field="1" count="1" selected="0">
            <x v="436"/>
          </reference>
        </references>
      </pivotArea>
    </chartFormat>
    <chartFormat chart="2" format="515" series="1">
      <pivotArea type="data" outline="0" fieldPosition="0">
        <references count="2">
          <reference field="4294967294" count="1" selected="0">
            <x v="0"/>
          </reference>
          <reference field="1" count="1" selected="0">
            <x v="437"/>
          </reference>
        </references>
      </pivotArea>
    </chartFormat>
    <chartFormat chart="2" format="516" series="1">
      <pivotArea type="data" outline="0" fieldPosition="0">
        <references count="2">
          <reference field="4294967294" count="1" selected="0">
            <x v="0"/>
          </reference>
          <reference field="1" count="1" selected="0">
            <x v="427"/>
          </reference>
        </references>
      </pivotArea>
    </chartFormat>
    <chartFormat chart="2" format="517" series="1">
      <pivotArea type="data" outline="0" fieldPosition="0">
        <references count="2">
          <reference field="4294967294" count="1" selected="0">
            <x v="0"/>
          </reference>
          <reference field="1" count="1" selected="0">
            <x v="428"/>
          </reference>
        </references>
      </pivotArea>
    </chartFormat>
    <chartFormat chart="2" format="518" series="1">
      <pivotArea type="data" outline="0" fieldPosition="0">
        <references count="2">
          <reference field="4294967294" count="1" selected="0">
            <x v="0"/>
          </reference>
          <reference field="1" count="1" selected="0">
            <x v="429"/>
          </reference>
        </references>
      </pivotArea>
    </chartFormat>
    <chartFormat chart="2" format="519" series="1">
      <pivotArea type="data" outline="0" fieldPosition="0">
        <references count="2">
          <reference field="4294967294" count="1" selected="0">
            <x v="0"/>
          </reference>
          <reference field="1" count="1" selected="0">
            <x v="449"/>
          </reference>
        </references>
      </pivotArea>
    </chartFormat>
    <chartFormat chart="2" format="520" series="1">
      <pivotArea type="data" outline="0" fieldPosition="0">
        <references count="2">
          <reference field="4294967294" count="1" selected="0">
            <x v="0"/>
          </reference>
          <reference field="1" count="1" selected="0">
            <x v="450"/>
          </reference>
        </references>
      </pivotArea>
    </chartFormat>
    <chartFormat chart="2" format="521" series="1">
      <pivotArea type="data" outline="0" fieldPosition="0">
        <references count="2">
          <reference field="4294967294" count="1" selected="0">
            <x v="0"/>
          </reference>
          <reference field="1" count="1" selected="0">
            <x v="451"/>
          </reference>
        </references>
      </pivotArea>
    </chartFormat>
    <chartFormat chart="2" format="522" series="1">
      <pivotArea type="data" outline="0" fieldPosition="0">
        <references count="2">
          <reference field="4294967294" count="1" selected="0">
            <x v="0"/>
          </reference>
          <reference field="1" count="1" selected="0">
            <x v="452"/>
          </reference>
        </references>
      </pivotArea>
    </chartFormat>
    <chartFormat chart="2" format="523" series="1">
      <pivotArea type="data" outline="0" fieldPosition="0">
        <references count="2">
          <reference field="4294967294" count="1" selected="0">
            <x v="0"/>
          </reference>
          <reference field="1" count="1" selected="0">
            <x v="453"/>
          </reference>
        </references>
      </pivotArea>
    </chartFormat>
    <chartFormat chart="2" format="524" series="1">
      <pivotArea type="data" outline="0" fieldPosition="0">
        <references count="2">
          <reference field="4294967294" count="1" selected="0">
            <x v="0"/>
          </reference>
          <reference field="1" count="1" selected="0">
            <x v="454"/>
          </reference>
        </references>
      </pivotArea>
    </chartFormat>
    <chartFormat chart="2" format="525" series="1">
      <pivotArea type="data" outline="0" fieldPosition="0">
        <references count="2">
          <reference field="4294967294" count="1" selected="0">
            <x v="0"/>
          </reference>
          <reference field="1" count="1" selected="0">
            <x v="455"/>
          </reference>
        </references>
      </pivotArea>
    </chartFormat>
    <chartFormat chart="2" format="526" series="1">
      <pivotArea type="data" outline="0" fieldPosition="0">
        <references count="2">
          <reference field="4294967294" count="1" selected="0">
            <x v="0"/>
          </reference>
          <reference field="1" count="1" selected="0">
            <x v="456"/>
          </reference>
        </references>
      </pivotArea>
    </chartFormat>
    <chartFormat chart="2" format="527" series="1">
      <pivotArea type="data" outline="0" fieldPosition="0">
        <references count="2">
          <reference field="4294967294" count="1" selected="0">
            <x v="0"/>
          </reference>
          <reference field="1" count="1" selected="0">
            <x v="457"/>
          </reference>
        </references>
      </pivotArea>
    </chartFormat>
    <chartFormat chart="2" format="528" series="1">
      <pivotArea type="data" outline="0" fieldPosition="0">
        <references count="2">
          <reference field="4294967294" count="1" selected="0">
            <x v="0"/>
          </reference>
          <reference field="1" count="1" selected="0">
            <x v="458"/>
          </reference>
        </references>
      </pivotArea>
    </chartFormat>
    <chartFormat chart="2" format="529" series="1">
      <pivotArea type="data" outline="0" fieldPosition="0">
        <references count="2">
          <reference field="4294967294" count="1" selected="0">
            <x v="0"/>
          </reference>
          <reference field="1" count="1" selected="0">
            <x v="459"/>
          </reference>
        </references>
      </pivotArea>
    </chartFormat>
    <chartFormat chart="2" format="530" series="1">
      <pivotArea type="data" outline="0" fieldPosition="0">
        <references count="2">
          <reference field="4294967294" count="1" selected="0">
            <x v="0"/>
          </reference>
          <reference field="1" count="1" selected="0">
            <x v="460"/>
          </reference>
        </references>
      </pivotArea>
    </chartFormat>
    <chartFormat chart="2" format="531" series="1">
      <pivotArea type="data" outline="0" fieldPosition="0">
        <references count="2">
          <reference field="4294967294" count="1" selected="0">
            <x v="0"/>
          </reference>
          <reference field="1" count="1" selected="0">
            <x v="461"/>
          </reference>
        </references>
      </pivotArea>
    </chartFormat>
    <chartFormat chart="2" format="532" series="1">
      <pivotArea type="data" outline="0" fieldPosition="0">
        <references count="2">
          <reference field="4294967294" count="1" selected="0">
            <x v="0"/>
          </reference>
          <reference field="1" count="1" selected="0">
            <x v="462"/>
          </reference>
        </references>
      </pivotArea>
    </chartFormat>
    <chartFormat chart="2" format="533" series="1">
      <pivotArea type="data" outline="0" fieldPosition="0">
        <references count="2">
          <reference field="4294967294" count="1" selected="0">
            <x v="0"/>
          </reference>
          <reference field="1" count="1" selected="0">
            <x v="466"/>
          </reference>
        </references>
      </pivotArea>
    </chartFormat>
    <chartFormat chart="2" format="534" series="1">
      <pivotArea type="data" outline="0" fieldPosition="0">
        <references count="2">
          <reference field="4294967294" count="1" selected="0">
            <x v="0"/>
          </reference>
          <reference field="1" count="1" selected="0">
            <x v="467"/>
          </reference>
        </references>
      </pivotArea>
    </chartFormat>
    <chartFormat chart="2" format="535" series="1">
      <pivotArea type="data" outline="0" fieldPosition="0">
        <references count="2">
          <reference field="4294967294" count="1" selected="0">
            <x v="0"/>
          </reference>
          <reference field="1" count="1" selected="0">
            <x v="468"/>
          </reference>
        </references>
      </pivotArea>
    </chartFormat>
    <chartFormat chart="2" format="536" series="1">
      <pivotArea type="data" outline="0" fieldPosition="0">
        <references count="2">
          <reference field="4294967294" count="1" selected="0">
            <x v="0"/>
          </reference>
          <reference field="1" count="1" selected="0">
            <x v="469"/>
          </reference>
        </references>
      </pivotArea>
    </chartFormat>
    <chartFormat chart="2" format="537" series="1">
      <pivotArea type="data" outline="0" fieldPosition="0">
        <references count="2">
          <reference field="4294967294" count="1" selected="0">
            <x v="0"/>
          </reference>
          <reference field="1" count="1" selected="0">
            <x v="470"/>
          </reference>
        </references>
      </pivotArea>
    </chartFormat>
    <chartFormat chart="2" format="538" series="1">
      <pivotArea type="data" outline="0" fieldPosition="0">
        <references count="2">
          <reference field="4294967294" count="1" selected="0">
            <x v="0"/>
          </reference>
          <reference field="1" count="1" selected="0">
            <x v="463"/>
          </reference>
        </references>
      </pivotArea>
    </chartFormat>
    <chartFormat chart="2" format="539" series="1">
      <pivotArea type="data" outline="0" fieldPosition="0">
        <references count="2">
          <reference field="4294967294" count="1" selected="0">
            <x v="0"/>
          </reference>
          <reference field="1" count="1" selected="0">
            <x v="464"/>
          </reference>
        </references>
      </pivotArea>
    </chartFormat>
    <chartFormat chart="2" format="540" series="1">
      <pivotArea type="data" outline="0" fieldPosition="0">
        <references count="2">
          <reference field="4294967294" count="1" selected="0">
            <x v="0"/>
          </reference>
          <reference field="1" count="1" selected="0">
            <x v="465"/>
          </reference>
        </references>
      </pivotArea>
    </chartFormat>
    <chartFormat chart="2" format="541" series="1">
      <pivotArea type="data" outline="0" fieldPosition="0">
        <references count="2">
          <reference field="4294967294" count="1" selected="0">
            <x v="0"/>
          </reference>
          <reference field="1" count="1" selected="0">
            <x v="474"/>
          </reference>
        </references>
      </pivotArea>
    </chartFormat>
    <chartFormat chart="2" format="542" series="1">
      <pivotArea type="data" outline="0" fieldPosition="0">
        <references count="2">
          <reference field="4294967294" count="1" selected="0">
            <x v="0"/>
          </reference>
          <reference field="1" count="1" selected="0">
            <x v="475"/>
          </reference>
        </references>
      </pivotArea>
    </chartFormat>
    <chartFormat chart="2" format="543" series="1">
      <pivotArea type="data" outline="0" fieldPosition="0">
        <references count="2">
          <reference field="4294967294" count="1" selected="0">
            <x v="0"/>
          </reference>
          <reference field="1" count="1" selected="0">
            <x v="476"/>
          </reference>
        </references>
      </pivotArea>
    </chartFormat>
    <chartFormat chart="2" format="544" series="1">
      <pivotArea type="data" outline="0" fieldPosition="0">
        <references count="2">
          <reference field="4294967294" count="1" selected="0">
            <x v="0"/>
          </reference>
          <reference field="1" count="1" selected="0">
            <x v="477"/>
          </reference>
        </references>
      </pivotArea>
    </chartFormat>
    <chartFormat chart="2" format="545" series="1">
      <pivotArea type="data" outline="0" fieldPosition="0">
        <references count="2">
          <reference field="4294967294" count="1" selected="0">
            <x v="0"/>
          </reference>
          <reference field="1" count="1" selected="0">
            <x v="471"/>
          </reference>
        </references>
      </pivotArea>
    </chartFormat>
    <chartFormat chart="2" format="546" series="1">
      <pivotArea type="data" outline="0" fieldPosition="0">
        <references count="2">
          <reference field="4294967294" count="1" selected="0">
            <x v="0"/>
          </reference>
          <reference field="1" count="1" selected="0">
            <x v="472"/>
          </reference>
        </references>
      </pivotArea>
    </chartFormat>
    <chartFormat chart="2" format="547" series="1">
      <pivotArea type="data" outline="0" fieldPosition="0">
        <references count="2">
          <reference field="4294967294" count="1" selected="0">
            <x v="0"/>
          </reference>
          <reference field="1" count="1" selected="0">
            <x v="473"/>
          </reference>
        </references>
      </pivotArea>
    </chartFormat>
    <chartFormat chart="2" format="548" series="1">
      <pivotArea type="data" outline="0" fieldPosition="0">
        <references count="2">
          <reference field="4294967294" count="1" selected="0">
            <x v="0"/>
          </reference>
          <reference field="1" count="1" selected="0">
            <x v="481"/>
          </reference>
        </references>
      </pivotArea>
    </chartFormat>
    <chartFormat chart="2" format="549" series="1">
      <pivotArea type="data" outline="0" fieldPosition="0">
        <references count="2">
          <reference field="4294967294" count="1" selected="0">
            <x v="0"/>
          </reference>
          <reference field="1" count="1" selected="0">
            <x v="482"/>
          </reference>
        </references>
      </pivotArea>
    </chartFormat>
    <chartFormat chart="2" format="550" series="1">
      <pivotArea type="data" outline="0" fieldPosition="0">
        <references count="2">
          <reference field="4294967294" count="1" selected="0">
            <x v="0"/>
          </reference>
          <reference field="1" count="1" selected="0">
            <x v="483"/>
          </reference>
        </references>
      </pivotArea>
    </chartFormat>
    <chartFormat chart="2" format="551" series="1">
      <pivotArea type="data" outline="0" fieldPosition="0">
        <references count="2">
          <reference field="4294967294" count="1" selected="0">
            <x v="0"/>
          </reference>
          <reference field="1" count="1" selected="0">
            <x v="484"/>
          </reference>
        </references>
      </pivotArea>
    </chartFormat>
    <chartFormat chart="2" format="552" series="1">
      <pivotArea type="data" outline="0" fieldPosition="0">
        <references count="2">
          <reference field="4294967294" count="1" selected="0">
            <x v="0"/>
          </reference>
          <reference field="1" count="1" selected="0">
            <x v="485"/>
          </reference>
        </references>
      </pivotArea>
    </chartFormat>
    <chartFormat chart="2" format="553" series="1">
      <pivotArea type="data" outline="0" fieldPosition="0">
        <references count="2">
          <reference field="4294967294" count="1" selected="0">
            <x v="0"/>
          </reference>
          <reference field="1" count="1" selected="0">
            <x v="486"/>
          </reference>
        </references>
      </pivotArea>
    </chartFormat>
    <chartFormat chart="2" format="554" series="1">
      <pivotArea type="data" outline="0" fieldPosition="0">
        <references count="2">
          <reference field="4294967294" count="1" selected="0">
            <x v="0"/>
          </reference>
          <reference field="1" count="1" selected="0">
            <x v="487"/>
          </reference>
        </references>
      </pivotArea>
    </chartFormat>
    <chartFormat chart="2" format="555" series="1">
      <pivotArea type="data" outline="0" fieldPosition="0">
        <references count="2">
          <reference field="4294967294" count="1" selected="0">
            <x v="0"/>
          </reference>
          <reference field="1" count="1" selected="0">
            <x v="488"/>
          </reference>
        </references>
      </pivotArea>
    </chartFormat>
    <chartFormat chart="2" format="556" series="1">
      <pivotArea type="data" outline="0" fieldPosition="0">
        <references count="2">
          <reference field="4294967294" count="1" selected="0">
            <x v="0"/>
          </reference>
          <reference field="1" count="1" selected="0">
            <x v="489"/>
          </reference>
        </references>
      </pivotArea>
    </chartFormat>
    <chartFormat chart="2" format="557" series="1">
      <pivotArea type="data" outline="0" fieldPosition="0">
        <references count="2">
          <reference field="4294967294" count="1" selected="0">
            <x v="0"/>
          </reference>
          <reference field="1" count="1" selected="0">
            <x v="490"/>
          </reference>
        </references>
      </pivotArea>
    </chartFormat>
    <chartFormat chart="2" format="558" series="1">
      <pivotArea type="data" outline="0" fieldPosition="0">
        <references count="2">
          <reference field="4294967294" count="1" selected="0">
            <x v="0"/>
          </reference>
          <reference field="1" count="1" selected="0">
            <x v="491"/>
          </reference>
        </references>
      </pivotArea>
    </chartFormat>
    <chartFormat chart="2" format="559" series="1">
      <pivotArea type="data" outline="0" fieldPosition="0">
        <references count="2">
          <reference field="4294967294" count="1" selected="0">
            <x v="0"/>
          </reference>
          <reference field="1" count="1" selected="0">
            <x v="478"/>
          </reference>
        </references>
      </pivotArea>
    </chartFormat>
    <chartFormat chart="2" format="560" series="1">
      <pivotArea type="data" outline="0" fieldPosition="0">
        <references count="2">
          <reference field="4294967294" count="1" selected="0">
            <x v="0"/>
          </reference>
          <reference field="1" count="1" selected="0">
            <x v="479"/>
          </reference>
        </references>
      </pivotArea>
    </chartFormat>
    <chartFormat chart="2" format="561" series="1">
      <pivotArea type="data" outline="0" fieldPosition="0">
        <references count="2">
          <reference field="4294967294" count="1" selected="0">
            <x v="0"/>
          </reference>
          <reference field="1" count="1" selected="0">
            <x v="480"/>
          </reference>
        </references>
      </pivotArea>
    </chartFormat>
    <chartFormat chart="2" format="562" series="1">
      <pivotArea type="data" outline="0" fieldPosition="0">
        <references count="2">
          <reference field="4294967294" count="1" selected="0">
            <x v="0"/>
          </reference>
          <reference field="1" count="1" selected="0">
            <x v="497"/>
          </reference>
        </references>
      </pivotArea>
    </chartFormat>
    <chartFormat chart="2" format="563" series="1">
      <pivotArea type="data" outline="0" fieldPosition="0">
        <references count="2">
          <reference field="4294967294" count="1" selected="0">
            <x v="0"/>
          </reference>
          <reference field="1" count="1" selected="0">
            <x v="498"/>
          </reference>
        </references>
      </pivotArea>
    </chartFormat>
    <chartFormat chart="2" format="564" series="1">
      <pivotArea type="data" outline="0" fieldPosition="0">
        <references count="2">
          <reference field="4294967294" count="1" selected="0">
            <x v="0"/>
          </reference>
          <reference field="1" count="1" selected="0">
            <x v="499"/>
          </reference>
        </references>
      </pivotArea>
    </chartFormat>
    <chartFormat chart="2" format="565" series="1">
      <pivotArea type="data" outline="0" fieldPosition="0">
        <references count="2">
          <reference field="4294967294" count="1" selected="0">
            <x v="0"/>
          </reference>
          <reference field="1" count="1" selected="0">
            <x v="500"/>
          </reference>
        </references>
      </pivotArea>
    </chartFormat>
    <chartFormat chart="2" format="566" series="1">
      <pivotArea type="data" outline="0" fieldPosition="0">
        <references count="2">
          <reference field="4294967294" count="1" selected="0">
            <x v="0"/>
          </reference>
          <reference field="1" count="1" selected="0">
            <x v="501"/>
          </reference>
        </references>
      </pivotArea>
    </chartFormat>
    <chartFormat chart="2" format="567" series="1">
      <pivotArea type="data" outline="0" fieldPosition="0">
        <references count="2">
          <reference field="4294967294" count="1" selected="0">
            <x v="0"/>
          </reference>
          <reference field="1" count="1" selected="0">
            <x v="502"/>
          </reference>
        </references>
      </pivotArea>
    </chartFormat>
    <chartFormat chart="2" format="568" series="1">
      <pivotArea type="data" outline="0" fieldPosition="0">
        <references count="2">
          <reference field="4294967294" count="1" selected="0">
            <x v="0"/>
          </reference>
          <reference field="1" count="1" selected="0">
            <x v="503"/>
          </reference>
        </references>
      </pivotArea>
    </chartFormat>
    <chartFormat chart="2" format="569" series="1">
      <pivotArea type="data" outline="0" fieldPosition="0">
        <references count="2">
          <reference field="4294967294" count="1" selected="0">
            <x v="0"/>
          </reference>
          <reference field="1" count="1" selected="0">
            <x v="504"/>
          </reference>
        </references>
      </pivotArea>
    </chartFormat>
    <chartFormat chart="2" format="570" series="1">
      <pivotArea type="data" outline="0" fieldPosition="0">
        <references count="2">
          <reference field="4294967294" count="1" selected="0">
            <x v="0"/>
          </reference>
          <reference field="1" count="1" selected="0">
            <x v="505"/>
          </reference>
        </references>
      </pivotArea>
    </chartFormat>
    <chartFormat chart="2" format="571" series="1">
      <pivotArea type="data" outline="0" fieldPosition="0">
        <references count="2">
          <reference field="4294967294" count="1" selected="0">
            <x v="0"/>
          </reference>
          <reference field="1" count="1" selected="0">
            <x v="506"/>
          </reference>
        </references>
      </pivotArea>
    </chartFormat>
    <chartFormat chart="2" format="572" series="1">
      <pivotArea type="data" outline="0" fieldPosition="0">
        <references count="2">
          <reference field="4294967294" count="1" selected="0">
            <x v="0"/>
          </reference>
          <reference field="1" count="1" selected="0">
            <x v="507"/>
          </reference>
        </references>
      </pivotArea>
    </chartFormat>
    <chartFormat chart="2" format="573" series="1">
      <pivotArea type="data" outline="0" fieldPosition="0">
        <references count="2">
          <reference field="4294967294" count="1" selected="0">
            <x v="0"/>
          </reference>
          <reference field="1" count="1" selected="0">
            <x v="508"/>
          </reference>
        </references>
      </pivotArea>
    </chartFormat>
    <chartFormat chart="2" format="574" series="1">
      <pivotArea type="data" outline="0" fieldPosition="0">
        <references count="2">
          <reference field="4294967294" count="1" selected="0">
            <x v="0"/>
          </reference>
          <reference field="1" count="1" selected="0">
            <x v="509"/>
          </reference>
        </references>
      </pivotArea>
    </chartFormat>
    <chartFormat chart="2" format="575" series="1">
      <pivotArea type="data" outline="0" fieldPosition="0">
        <references count="2">
          <reference field="4294967294" count="1" selected="0">
            <x v="0"/>
          </reference>
          <reference field="1" count="1" selected="0">
            <x v="510"/>
          </reference>
        </references>
      </pivotArea>
    </chartFormat>
    <chartFormat chart="2" format="576" series="1">
      <pivotArea type="data" outline="0" fieldPosition="0">
        <references count="2">
          <reference field="4294967294" count="1" selected="0">
            <x v="0"/>
          </reference>
          <reference field="1" count="1" selected="0">
            <x v="511"/>
          </reference>
        </references>
      </pivotArea>
    </chartFormat>
    <chartFormat chart="2" format="577" series="1">
      <pivotArea type="data" outline="0" fieldPosition="0">
        <references count="2">
          <reference field="4294967294" count="1" selected="0">
            <x v="0"/>
          </reference>
          <reference field="1" count="1" selected="0">
            <x v="512"/>
          </reference>
        </references>
      </pivotArea>
    </chartFormat>
    <chartFormat chart="2" format="578" series="1">
      <pivotArea type="data" outline="0" fieldPosition="0">
        <references count="2">
          <reference field="4294967294" count="1" selected="0">
            <x v="0"/>
          </reference>
          <reference field="1" count="1" selected="0">
            <x v="513"/>
          </reference>
        </references>
      </pivotArea>
    </chartFormat>
    <chartFormat chart="2" format="579" series="1">
      <pivotArea type="data" outline="0" fieldPosition="0">
        <references count="2">
          <reference field="4294967294" count="1" selected="0">
            <x v="0"/>
          </reference>
          <reference field="1" count="1" selected="0">
            <x v="514"/>
          </reference>
        </references>
      </pivotArea>
    </chartFormat>
    <chartFormat chart="2" format="580" series="1">
      <pivotArea type="data" outline="0" fieldPosition="0">
        <references count="2">
          <reference field="4294967294" count="1" selected="0">
            <x v="0"/>
          </reference>
          <reference field="1" count="1" selected="0">
            <x v="528"/>
          </reference>
        </references>
      </pivotArea>
    </chartFormat>
    <chartFormat chart="2" format="581" series="1">
      <pivotArea type="data" outline="0" fieldPosition="0">
        <references count="2">
          <reference field="4294967294" count="1" selected="0">
            <x v="0"/>
          </reference>
          <reference field="1" count="1" selected="0">
            <x v="529"/>
          </reference>
        </references>
      </pivotArea>
    </chartFormat>
    <chartFormat chart="2" format="582" series="1">
      <pivotArea type="data" outline="0" fieldPosition="0">
        <references count="2">
          <reference field="4294967294" count="1" selected="0">
            <x v="0"/>
          </reference>
          <reference field="1" count="1" selected="0">
            <x v="530"/>
          </reference>
        </references>
      </pivotArea>
    </chartFormat>
    <chartFormat chart="2" format="583" series="1">
      <pivotArea type="data" outline="0" fieldPosition="0">
        <references count="2">
          <reference field="4294967294" count="1" selected="0">
            <x v="0"/>
          </reference>
          <reference field="1" count="1" selected="0">
            <x v="531"/>
          </reference>
        </references>
      </pivotArea>
    </chartFormat>
    <chartFormat chart="2" format="584" series="1">
      <pivotArea type="data" outline="0" fieldPosition="0">
        <references count="2">
          <reference field="4294967294" count="1" selected="0">
            <x v="0"/>
          </reference>
          <reference field="1" count="1" selected="0">
            <x v="532"/>
          </reference>
        </references>
      </pivotArea>
    </chartFormat>
    <chartFormat chart="2" format="585" series="1">
      <pivotArea type="data" outline="0" fieldPosition="0">
        <references count="2">
          <reference field="4294967294" count="1" selected="0">
            <x v="0"/>
          </reference>
          <reference field="1" count="1" selected="0">
            <x v="533"/>
          </reference>
        </references>
      </pivotArea>
    </chartFormat>
    <chartFormat chart="2" format="586" series="1">
      <pivotArea type="data" outline="0" fieldPosition="0">
        <references count="2">
          <reference field="4294967294" count="1" selected="0">
            <x v="0"/>
          </reference>
          <reference field="1" count="1" selected="0">
            <x v="534"/>
          </reference>
        </references>
      </pivotArea>
    </chartFormat>
    <chartFormat chart="2" format="587" series="1">
      <pivotArea type="data" outline="0" fieldPosition="0">
        <references count="2">
          <reference field="4294967294" count="1" selected="0">
            <x v="0"/>
          </reference>
          <reference field="1" count="1" selected="0">
            <x v="535"/>
          </reference>
        </references>
      </pivotArea>
    </chartFormat>
    <chartFormat chart="2" format="588" series="1">
      <pivotArea type="data" outline="0" fieldPosition="0">
        <references count="2">
          <reference field="4294967294" count="1" selected="0">
            <x v="0"/>
          </reference>
          <reference field="1" count="1" selected="0">
            <x v="536"/>
          </reference>
        </references>
      </pivotArea>
    </chartFormat>
    <chartFormat chart="2" format="589" series="1">
      <pivotArea type="data" outline="0" fieldPosition="0">
        <references count="2">
          <reference field="4294967294" count="1" selected="0">
            <x v="0"/>
          </reference>
          <reference field="1" count="1" selected="0">
            <x v="537"/>
          </reference>
        </references>
      </pivotArea>
    </chartFormat>
    <chartFormat chart="2" format="590" series="1">
      <pivotArea type="data" outline="0" fieldPosition="0">
        <references count="2">
          <reference field="4294967294" count="1" selected="0">
            <x v="0"/>
          </reference>
          <reference field="1" count="1" selected="0">
            <x v="538"/>
          </reference>
        </references>
      </pivotArea>
    </chartFormat>
    <chartFormat chart="2" format="591" series="1">
      <pivotArea type="data" outline="0" fieldPosition="0">
        <references count="2">
          <reference field="4294967294" count="1" selected="0">
            <x v="0"/>
          </reference>
          <reference field="1" count="1" selected="0">
            <x v="539"/>
          </reference>
        </references>
      </pivotArea>
    </chartFormat>
    <chartFormat chart="2" format="592" series="1">
      <pivotArea type="data" outline="0" fieldPosition="0">
        <references count="2">
          <reference field="4294967294" count="1" selected="0">
            <x v="0"/>
          </reference>
          <reference field="1" count="1" selected="0">
            <x v="540"/>
          </reference>
        </references>
      </pivotArea>
    </chartFormat>
    <chartFormat chart="2" format="593" series="1">
      <pivotArea type="data" outline="0" fieldPosition="0">
        <references count="2">
          <reference field="4294967294" count="1" selected="0">
            <x v="0"/>
          </reference>
          <reference field="1" count="1" selected="0">
            <x v="541"/>
          </reference>
        </references>
      </pivotArea>
    </chartFormat>
    <chartFormat chart="2" format="594" series="1">
      <pivotArea type="data" outline="0" fieldPosition="0">
        <references count="2">
          <reference field="4294967294" count="1" selected="0">
            <x v="0"/>
          </reference>
          <reference field="1" count="1" selected="0">
            <x v="542"/>
          </reference>
        </references>
      </pivotArea>
    </chartFormat>
    <chartFormat chart="2" format="595" series="1">
      <pivotArea type="data" outline="0" fieldPosition="0">
        <references count="2">
          <reference field="4294967294" count="1" selected="0">
            <x v="0"/>
          </reference>
          <reference field="1" count="1" selected="0">
            <x v="546"/>
          </reference>
        </references>
      </pivotArea>
    </chartFormat>
    <chartFormat chart="2" format="596" series="1">
      <pivotArea type="data" outline="0" fieldPosition="0">
        <references count="2">
          <reference field="4294967294" count="1" selected="0">
            <x v="0"/>
          </reference>
          <reference field="1" count="1" selected="0">
            <x v="543"/>
          </reference>
        </references>
      </pivotArea>
    </chartFormat>
    <chartFormat chart="2" format="597" series="1">
      <pivotArea type="data" outline="0" fieldPosition="0">
        <references count="2">
          <reference field="4294967294" count="1" selected="0">
            <x v="0"/>
          </reference>
          <reference field="1" count="1" selected="0">
            <x v="544"/>
          </reference>
        </references>
      </pivotArea>
    </chartFormat>
    <chartFormat chart="2" format="598" series="1">
      <pivotArea type="data" outline="0" fieldPosition="0">
        <references count="2">
          <reference field="4294967294" count="1" selected="0">
            <x v="0"/>
          </reference>
          <reference field="1" count="1" selected="0">
            <x v="545"/>
          </reference>
        </references>
      </pivotArea>
    </chartFormat>
    <chartFormat chart="2" format="599" series="1">
      <pivotArea type="data" outline="0" fieldPosition="0">
        <references count="2">
          <reference field="4294967294" count="1" selected="0">
            <x v="0"/>
          </reference>
          <reference field="1" count="1" selected="0">
            <x v="564"/>
          </reference>
        </references>
      </pivotArea>
    </chartFormat>
    <chartFormat chart="2" format="600" series="1">
      <pivotArea type="data" outline="0" fieldPosition="0">
        <references count="2">
          <reference field="4294967294" count="1" selected="0">
            <x v="0"/>
          </reference>
          <reference field="1" count="1" selected="0">
            <x v="565"/>
          </reference>
        </references>
      </pivotArea>
    </chartFormat>
    <chartFormat chart="2" format="601" series="1">
      <pivotArea type="data" outline="0" fieldPosition="0">
        <references count="2">
          <reference field="4294967294" count="1" selected="0">
            <x v="0"/>
          </reference>
          <reference field="1" count="1" selected="0">
            <x v="566"/>
          </reference>
        </references>
      </pivotArea>
    </chartFormat>
    <chartFormat chart="2" format="602" series="1">
      <pivotArea type="data" outline="0" fieldPosition="0">
        <references count="2">
          <reference field="4294967294" count="1" selected="0">
            <x v="0"/>
          </reference>
          <reference field="1" count="1" selected="0">
            <x v="567"/>
          </reference>
        </references>
      </pivotArea>
    </chartFormat>
    <chartFormat chart="2" format="603" series="1">
      <pivotArea type="data" outline="0" fieldPosition="0">
        <references count="2">
          <reference field="4294967294" count="1" selected="0">
            <x v="0"/>
          </reference>
          <reference field="1" count="1" selected="0">
            <x v="568"/>
          </reference>
        </references>
      </pivotArea>
    </chartFormat>
    <chartFormat chart="2" format="604" series="1">
      <pivotArea type="data" outline="0" fieldPosition="0">
        <references count="2">
          <reference field="4294967294" count="1" selected="0">
            <x v="0"/>
          </reference>
          <reference field="1" count="1" selected="0">
            <x v="569"/>
          </reference>
        </references>
      </pivotArea>
    </chartFormat>
    <chartFormat chart="2" format="605" series="1">
      <pivotArea type="data" outline="0" fieldPosition="0">
        <references count="2">
          <reference field="4294967294" count="1" selected="0">
            <x v="0"/>
          </reference>
          <reference field="1" count="1" selected="0">
            <x v="570"/>
          </reference>
        </references>
      </pivotArea>
    </chartFormat>
    <chartFormat chart="2" format="606" series="1">
      <pivotArea type="data" outline="0" fieldPosition="0">
        <references count="2">
          <reference field="4294967294" count="1" selected="0">
            <x v="0"/>
          </reference>
          <reference field="1" count="1" selected="0">
            <x v="571"/>
          </reference>
        </references>
      </pivotArea>
    </chartFormat>
    <chartFormat chart="2" format="607" series="1">
      <pivotArea type="data" outline="0" fieldPosition="0">
        <references count="2">
          <reference field="4294967294" count="1" selected="0">
            <x v="0"/>
          </reference>
          <reference field="1" count="1" selected="0">
            <x v="572"/>
          </reference>
        </references>
      </pivotArea>
    </chartFormat>
    <chartFormat chart="2" format="608" series="1">
      <pivotArea type="data" outline="0" fieldPosition="0">
        <references count="2">
          <reference field="4294967294" count="1" selected="0">
            <x v="0"/>
          </reference>
          <reference field="1" count="1" selected="0">
            <x v="573"/>
          </reference>
        </references>
      </pivotArea>
    </chartFormat>
    <chartFormat chart="2" format="609" series="1">
      <pivotArea type="data" outline="0" fieldPosition="0">
        <references count="2">
          <reference field="4294967294" count="1" selected="0">
            <x v="0"/>
          </reference>
          <reference field="1" count="1" selected="0">
            <x v="574"/>
          </reference>
        </references>
      </pivotArea>
    </chartFormat>
    <chartFormat chart="2" format="610" series="1">
      <pivotArea type="data" outline="0" fieldPosition="0">
        <references count="2">
          <reference field="4294967294" count="1" selected="0">
            <x v="0"/>
          </reference>
          <reference field="1" count="1" selected="0">
            <x v="575"/>
          </reference>
        </references>
      </pivotArea>
    </chartFormat>
    <chartFormat chart="2" format="611" series="1">
      <pivotArea type="data" outline="0" fieldPosition="0">
        <references count="2">
          <reference field="4294967294" count="1" selected="0">
            <x v="0"/>
          </reference>
          <reference field="1" count="1" selected="0">
            <x v="576"/>
          </reference>
        </references>
      </pivotArea>
    </chartFormat>
    <chartFormat chart="2" format="612" series="1">
      <pivotArea type="data" outline="0" fieldPosition="0">
        <references count="2">
          <reference field="4294967294" count="1" selected="0">
            <x v="0"/>
          </reference>
          <reference field="1" count="1" selected="0">
            <x v="577"/>
          </reference>
        </references>
      </pivotArea>
    </chartFormat>
    <chartFormat chart="2" format="613" series="1">
      <pivotArea type="data" outline="0" fieldPosition="0">
        <references count="2">
          <reference field="4294967294" count="1" selected="0">
            <x v="0"/>
          </reference>
          <reference field="1" count="1" selected="0">
            <x v="581"/>
          </reference>
        </references>
      </pivotArea>
    </chartFormat>
    <chartFormat chart="2" format="614" series="1">
      <pivotArea type="data" outline="0" fieldPosition="0">
        <references count="2">
          <reference field="4294967294" count="1" selected="0">
            <x v="0"/>
          </reference>
          <reference field="1" count="1" selected="0">
            <x v="582"/>
          </reference>
        </references>
      </pivotArea>
    </chartFormat>
    <chartFormat chart="2" format="615" series="1">
      <pivotArea type="data" outline="0" fieldPosition="0">
        <references count="2">
          <reference field="4294967294" count="1" selected="0">
            <x v="0"/>
          </reference>
          <reference field="1" count="1" selected="0">
            <x v="578"/>
          </reference>
        </references>
      </pivotArea>
    </chartFormat>
    <chartFormat chart="2" format="616" series="1">
      <pivotArea type="data" outline="0" fieldPosition="0">
        <references count="2">
          <reference field="4294967294" count="1" selected="0">
            <x v="0"/>
          </reference>
          <reference field="1" count="1" selected="0">
            <x v="579"/>
          </reference>
        </references>
      </pivotArea>
    </chartFormat>
    <chartFormat chart="2" format="617" series="1">
      <pivotArea type="data" outline="0" fieldPosition="0">
        <references count="2">
          <reference field="4294967294" count="1" selected="0">
            <x v="0"/>
          </reference>
          <reference field="1" count="1" selected="0">
            <x v="580"/>
          </reference>
        </references>
      </pivotArea>
    </chartFormat>
    <chartFormat chart="2" format="618" series="1">
      <pivotArea type="data" outline="0" fieldPosition="0">
        <references count="2">
          <reference field="4294967294" count="1" selected="0">
            <x v="0"/>
          </reference>
          <reference field="1" count="1" selected="0">
            <x v="610"/>
          </reference>
        </references>
      </pivotArea>
    </chartFormat>
    <chartFormat chart="2" format="619" series="1">
      <pivotArea type="data" outline="0" fieldPosition="0">
        <references count="2">
          <reference field="4294967294" count="1" selected="0">
            <x v="0"/>
          </reference>
          <reference field="1" count="1" selected="0">
            <x v="611"/>
          </reference>
        </references>
      </pivotArea>
    </chartFormat>
    <chartFormat chart="2" format="620" series="1">
      <pivotArea type="data" outline="0" fieldPosition="0">
        <references count="2">
          <reference field="4294967294" count="1" selected="0">
            <x v="0"/>
          </reference>
          <reference field="1" count="1" selected="0">
            <x v="612"/>
          </reference>
        </references>
      </pivotArea>
    </chartFormat>
    <chartFormat chart="2" format="621" series="1">
      <pivotArea type="data" outline="0" fieldPosition="0">
        <references count="2">
          <reference field="4294967294" count="1" selected="0">
            <x v="0"/>
          </reference>
          <reference field="1" count="1" selected="0">
            <x v="613"/>
          </reference>
        </references>
      </pivotArea>
    </chartFormat>
    <chartFormat chart="2" format="622" series="1">
      <pivotArea type="data" outline="0" fieldPosition="0">
        <references count="2">
          <reference field="4294967294" count="1" selected="0">
            <x v="0"/>
          </reference>
          <reference field="1" count="1" selected="0">
            <x v="614"/>
          </reference>
        </references>
      </pivotArea>
    </chartFormat>
    <chartFormat chart="2" format="623" series="1">
      <pivotArea type="data" outline="0" fieldPosition="0">
        <references count="2">
          <reference field="4294967294" count="1" selected="0">
            <x v="0"/>
          </reference>
          <reference field="1" count="1" selected="0">
            <x v="615"/>
          </reference>
        </references>
      </pivotArea>
    </chartFormat>
    <chartFormat chart="2" format="624" series="1">
      <pivotArea type="data" outline="0" fieldPosition="0">
        <references count="2">
          <reference field="4294967294" count="1" selected="0">
            <x v="0"/>
          </reference>
          <reference field="1" count="1" selected="0">
            <x v="616"/>
          </reference>
        </references>
      </pivotArea>
    </chartFormat>
    <chartFormat chart="2" format="625" series="1">
      <pivotArea type="data" outline="0" fieldPosition="0">
        <references count="2">
          <reference field="4294967294" count="1" selected="0">
            <x v="0"/>
          </reference>
          <reference field="1" count="1" selected="0">
            <x v="617"/>
          </reference>
        </references>
      </pivotArea>
    </chartFormat>
    <chartFormat chart="2" format="626" series="1">
      <pivotArea type="data" outline="0" fieldPosition="0">
        <references count="2">
          <reference field="4294967294" count="1" selected="0">
            <x v="0"/>
          </reference>
          <reference field="1" count="1" selected="0">
            <x v="618"/>
          </reference>
        </references>
      </pivotArea>
    </chartFormat>
    <chartFormat chart="2" format="627" series="1">
      <pivotArea type="data" outline="0" fieldPosition="0">
        <references count="2">
          <reference field="4294967294" count="1" selected="0">
            <x v="0"/>
          </reference>
          <reference field="1" count="1" selected="0">
            <x v="619"/>
          </reference>
        </references>
      </pivotArea>
    </chartFormat>
    <chartFormat chart="2" format="628" series="1">
      <pivotArea type="data" outline="0" fieldPosition="0">
        <references count="2">
          <reference field="4294967294" count="1" selected="0">
            <x v="0"/>
          </reference>
          <reference field="1" count="1" selected="0">
            <x v="620"/>
          </reference>
        </references>
      </pivotArea>
    </chartFormat>
    <chartFormat chart="2" format="629" series="1">
      <pivotArea type="data" outline="0" fieldPosition="0">
        <references count="2">
          <reference field="4294967294" count="1" selected="0">
            <x v="0"/>
          </reference>
          <reference field="1" count="1" selected="0">
            <x v="621"/>
          </reference>
        </references>
      </pivotArea>
    </chartFormat>
    <chartFormat chart="2" format="630" series="1">
      <pivotArea type="data" outline="0" fieldPosition="0">
        <references count="2">
          <reference field="4294967294" count="1" selected="0">
            <x v="0"/>
          </reference>
          <reference field="1" count="1" selected="0">
            <x v="622"/>
          </reference>
        </references>
      </pivotArea>
    </chartFormat>
    <chartFormat chart="2" format="631" series="1">
      <pivotArea type="data" outline="0" fieldPosition="0">
        <references count="2">
          <reference field="4294967294" count="1" selected="0">
            <x v="0"/>
          </reference>
          <reference field="1" count="1" selected="0">
            <x v="623"/>
          </reference>
        </references>
      </pivotArea>
    </chartFormat>
    <chartFormat chart="2" format="632" series="1">
      <pivotArea type="data" outline="0" fieldPosition="0">
        <references count="2">
          <reference field="4294967294" count="1" selected="0">
            <x v="0"/>
          </reference>
          <reference field="1" count="1" selected="0">
            <x v="624"/>
          </reference>
        </references>
      </pivotArea>
    </chartFormat>
    <chartFormat chart="2" format="633" series="1">
      <pivotArea type="data" outline="0" fieldPosition="0">
        <references count="2">
          <reference field="4294967294" count="1" selected="0">
            <x v="0"/>
          </reference>
          <reference field="1" count="1" selected="0">
            <x v="625"/>
          </reference>
        </references>
      </pivotArea>
    </chartFormat>
    <chartFormat chart="2" format="634" series="1">
      <pivotArea type="data" outline="0" fieldPosition="0">
        <references count="2">
          <reference field="4294967294" count="1" selected="0">
            <x v="0"/>
          </reference>
          <reference field="1" count="1" selected="0">
            <x v="629"/>
          </reference>
        </references>
      </pivotArea>
    </chartFormat>
    <chartFormat chart="2" format="635" series="1">
      <pivotArea type="data" outline="0" fieldPosition="0">
        <references count="2">
          <reference field="4294967294" count="1" selected="0">
            <x v="0"/>
          </reference>
          <reference field="1" count="1" selected="0">
            <x v="630"/>
          </reference>
        </references>
      </pivotArea>
    </chartFormat>
    <chartFormat chart="2" format="636" series="1">
      <pivotArea type="data" outline="0" fieldPosition="0">
        <references count="2">
          <reference field="4294967294" count="1" selected="0">
            <x v="0"/>
          </reference>
          <reference field="1" count="1" selected="0">
            <x v="631"/>
          </reference>
        </references>
      </pivotArea>
    </chartFormat>
    <chartFormat chart="2" format="637" series="1">
      <pivotArea type="data" outline="0" fieldPosition="0">
        <references count="2">
          <reference field="4294967294" count="1" selected="0">
            <x v="0"/>
          </reference>
          <reference field="1" count="1" selected="0">
            <x v="626"/>
          </reference>
        </references>
      </pivotArea>
    </chartFormat>
    <chartFormat chart="2" format="638" series="1">
      <pivotArea type="data" outline="0" fieldPosition="0">
        <references count="2">
          <reference field="4294967294" count="1" selected="0">
            <x v="0"/>
          </reference>
          <reference field="1" count="1" selected="0">
            <x v="627"/>
          </reference>
        </references>
      </pivotArea>
    </chartFormat>
    <chartFormat chart="2" format="639" series="1">
      <pivotArea type="data" outline="0" fieldPosition="0">
        <references count="2">
          <reference field="4294967294" count="1" selected="0">
            <x v="0"/>
          </reference>
          <reference field="1" count="1" selected="0">
            <x v="628"/>
          </reference>
        </references>
      </pivotArea>
    </chartFormat>
    <chartFormat chart="2" format="640" series="1">
      <pivotArea type="data" outline="0" fieldPosition="0">
        <references count="2">
          <reference field="4294967294" count="1" selected="0">
            <x v="0"/>
          </reference>
          <reference field="1" count="1" selected="0">
            <x v="632"/>
          </reference>
        </references>
      </pivotArea>
    </chartFormat>
    <chartFormat chart="2" format="641" series="1">
      <pivotArea type="data" outline="0" fieldPosition="0">
        <references count="2">
          <reference field="4294967294" count="1" selected="0">
            <x v="0"/>
          </reference>
          <reference field="1" count="1" selected="0">
            <x v="633"/>
          </reference>
        </references>
      </pivotArea>
    </chartFormat>
    <chartFormat chart="2" format="642" series="1">
      <pivotArea type="data" outline="0" fieldPosition="0">
        <references count="2">
          <reference field="4294967294" count="1" selected="0">
            <x v="0"/>
          </reference>
          <reference field="1" count="1" selected="0">
            <x v="634"/>
          </reference>
        </references>
      </pivotArea>
    </chartFormat>
    <chartFormat chart="2" format="643" series="1">
      <pivotArea type="data" outline="0" fieldPosition="0">
        <references count="2">
          <reference field="4294967294" count="1" selected="0">
            <x v="0"/>
          </reference>
          <reference field="1" count="1" selected="0">
            <x v="635"/>
          </reference>
        </references>
      </pivotArea>
    </chartFormat>
    <chartFormat chart="2" format="644" series="1">
      <pivotArea type="data" outline="0" fieldPosition="0">
        <references count="2">
          <reference field="4294967294" count="1" selected="0">
            <x v="0"/>
          </reference>
          <reference field="1" count="1" selected="0">
            <x v="636"/>
          </reference>
        </references>
      </pivotArea>
    </chartFormat>
    <chartFormat chart="2" format="645" series="1">
      <pivotArea type="data" outline="0" fieldPosition="0">
        <references count="2">
          <reference field="4294967294" count="1" selected="0">
            <x v="0"/>
          </reference>
          <reference field="1" count="1" selected="0">
            <x v="637"/>
          </reference>
        </references>
      </pivotArea>
    </chartFormat>
    <chartFormat chart="2" format="646" series="1">
      <pivotArea type="data" outline="0" fieldPosition="0">
        <references count="2">
          <reference field="4294967294" count="1" selected="0">
            <x v="0"/>
          </reference>
          <reference field="1" count="1" selected="0">
            <x v="638"/>
          </reference>
        </references>
      </pivotArea>
    </chartFormat>
    <chartFormat chart="2" format="647" series="1">
      <pivotArea type="data" outline="0" fieldPosition="0">
        <references count="2">
          <reference field="4294967294" count="1" selected="0">
            <x v="0"/>
          </reference>
          <reference field="1" count="1" selected="0">
            <x v="639"/>
          </reference>
        </references>
      </pivotArea>
    </chartFormat>
    <chartFormat chart="2" format="648" series="1">
      <pivotArea type="data" outline="0" fieldPosition="0">
        <references count="2">
          <reference field="4294967294" count="1" selected="0">
            <x v="0"/>
          </reference>
          <reference field="1" count="1" selected="0">
            <x v="640"/>
          </reference>
        </references>
      </pivotArea>
    </chartFormat>
    <chartFormat chart="2" format="649" series="1">
      <pivotArea type="data" outline="0" fieldPosition="0">
        <references count="2">
          <reference field="4294967294" count="1" selected="0">
            <x v="0"/>
          </reference>
          <reference field="1" count="1" selected="0">
            <x v="641"/>
          </reference>
        </references>
      </pivotArea>
    </chartFormat>
    <chartFormat chart="2" format="650" series="1">
      <pivotArea type="data" outline="0" fieldPosition="0">
        <references count="2">
          <reference field="4294967294" count="1" selected="0">
            <x v="0"/>
          </reference>
          <reference field="1" count="1" selected="0">
            <x v="642"/>
          </reference>
        </references>
      </pivotArea>
    </chartFormat>
    <chartFormat chart="2" format="651" series="1">
      <pivotArea type="data" outline="0" fieldPosition="0">
        <references count="2">
          <reference field="4294967294" count="1" selected="0">
            <x v="0"/>
          </reference>
          <reference field="1" count="1" selected="0">
            <x v="643"/>
          </reference>
        </references>
      </pivotArea>
    </chartFormat>
    <chartFormat chart="2" format="652" series="1">
      <pivotArea type="data" outline="0" fieldPosition="0">
        <references count="2">
          <reference field="4294967294" count="1" selected="0">
            <x v="0"/>
          </reference>
          <reference field="1" count="1" selected="0">
            <x v="644"/>
          </reference>
        </references>
      </pivotArea>
    </chartFormat>
    <chartFormat chart="2" format="653" series="1">
      <pivotArea type="data" outline="0" fieldPosition="0">
        <references count="2">
          <reference field="4294967294" count="1" selected="0">
            <x v="0"/>
          </reference>
          <reference field="1" count="1" selected="0">
            <x v="648"/>
          </reference>
        </references>
      </pivotArea>
    </chartFormat>
    <chartFormat chart="2" format="654" series="1">
      <pivotArea type="data" outline="0" fieldPosition="0">
        <references count="2">
          <reference field="4294967294" count="1" selected="0">
            <x v="0"/>
          </reference>
          <reference field="1" count="1" selected="0">
            <x v="649"/>
          </reference>
        </references>
      </pivotArea>
    </chartFormat>
    <chartFormat chart="2" format="655" series="1">
      <pivotArea type="data" outline="0" fieldPosition="0">
        <references count="2">
          <reference field="4294967294" count="1" selected="0">
            <x v="0"/>
          </reference>
          <reference field="1" count="1" selected="0">
            <x v="650"/>
          </reference>
        </references>
      </pivotArea>
    </chartFormat>
    <chartFormat chart="2" format="656" series="1">
      <pivotArea type="data" outline="0" fieldPosition="0">
        <references count="2">
          <reference field="4294967294" count="1" selected="0">
            <x v="0"/>
          </reference>
          <reference field="1" count="1" selected="0">
            <x v="651"/>
          </reference>
        </references>
      </pivotArea>
    </chartFormat>
    <chartFormat chart="2" format="657" series="1">
      <pivotArea type="data" outline="0" fieldPosition="0">
        <references count="2">
          <reference field="4294967294" count="1" selected="0">
            <x v="0"/>
          </reference>
          <reference field="1" count="1" selected="0">
            <x v="652"/>
          </reference>
        </references>
      </pivotArea>
    </chartFormat>
    <chartFormat chart="2" format="658" series="1">
      <pivotArea type="data" outline="0" fieldPosition="0">
        <references count="2">
          <reference field="4294967294" count="1" selected="0">
            <x v="0"/>
          </reference>
          <reference field="1" count="1" selected="0">
            <x v="653"/>
          </reference>
        </references>
      </pivotArea>
    </chartFormat>
    <chartFormat chart="2" format="659" series="1">
      <pivotArea type="data" outline="0" fieldPosition="0">
        <references count="2">
          <reference field="4294967294" count="1" selected="0">
            <x v="0"/>
          </reference>
          <reference field="1" count="1" selected="0">
            <x v="654"/>
          </reference>
        </references>
      </pivotArea>
    </chartFormat>
    <chartFormat chart="2" format="660" series="1">
      <pivotArea type="data" outline="0" fieldPosition="0">
        <references count="2">
          <reference field="4294967294" count="1" selected="0">
            <x v="0"/>
          </reference>
          <reference field="1" count="1" selected="0">
            <x v="655"/>
          </reference>
        </references>
      </pivotArea>
    </chartFormat>
    <chartFormat chart="2" format="661" series="1">
      <pivotArea type="data" outline="0" fieldPosition="0">
        <references count="2">
          <reference field="4294967294" count="1" selected="0">
            <x v="0"/>
          </reference>
          <reference field="1" count="1" selected="0">
            <x v="656"/>
          </reference>
        </references>
      </pivotArea>
    </chartFormat>
    <chartFormat chart="2" format="662" series="1">
      <pivotArea type="data" outline="0" fieldPosition="0">
        <references count="2">
          <reference field="4294967294" count="1" selected="0">
            <x v="0"/>
          </reference>
          <reference field="1" count="1" selected="0">
            <x v="657"/>
          </reference>
        </references>
      </pivotArea>
    </chartFormat>
    <chartFormat chart="2" format="663" series="1">
      <pivotArea type="data" outline="0" fieldPosition="0">
        <references count="2">
          <reference field="4294967294" count="1" selected="0">
            <x v="0"/>
          </reference>
          <reference field="1" count="1" selected="0">
            <x v="645"/>
          </reference>
        </references>
      </pivotArea>
    </chartFormat>
    <chartFormat chart="2" format="664" series="1">
      <pivotArea type="data" outline="0" fieldPosition="0">
        <references count="2">
          <reference field="4294967294" count="1" selected="0">
            <x v="0"/>
          </reference>
          <reference field="1" count="1" selected="0">
            <x v="646"/>
          </reference>
        </references>
      </pivotArea>
    </chartFormat>
    <chartFormat chart="2" format="665" series="1">
      <pivotArea type="data" outline="0" fieldPosition="0">
        <references count="2">
          <reference field="4294967294" count="1" selected="0">
            <x v="0"/>
          </reference>
          <reference field="1" count="1" selected="0">
            <x v="647"/>
          </reference>
        </references>
      </pivotArea>
    </chartFormat>
    <chartFormat chart="2" format="666" series="1">
      <pivotArea type="data" outline="0" fieldPosition="0">
        <references count="2">
          <reference field="4294967294" count="1" selected="0">
            <x v="0"/>
          </reference>
          <reference field="1" count="1" selected="0">
            <x v="661"/>
          </reference>
        </references>
      </pivotArea>
    </chartFormat>
    <chartFormat chart="2" format="667" series="1">
      <pivotArea type="data" outline="0" fieldPosition="0">
        <references count="2">
          <reference field="4294967294" count="1" selected="0">
            <x v="0"/>
          </reference>
          <reference field="1" count="1" selected="0">
            <x v="658"/>
          </reference>
        </references>
      </pivotArea>
    </chartFormat>
    <chartFormat chart="2" format="668" series="1">
      <pivotArea type="data" outline="0" fieldPosition="0">
        <references count="2">
          <reference field="4294967294" count="1" selected="0">
            <x v="0"/>
          </reference>
          <reference field="1" count="1" selected="0">
            <x v="659"/>
          </reference>
        </references>
      </pivotArea>
    </chartFormat>
    <chartFormat chart="2" format="669" series="1">
      <pivotArea type="data" outline="0" fieldPosition="0">
        <references count="2">
          <reference field="4294967294" count="1" selected="0">
            <x v="0"/>
          </reference>
          <reference field="1" count="1" selected="0">
            <x v="660"/>
          </reference>
        </references>
      </pivotArea>
    </chartFormat>
    <chartFormat chart="2" format="670" series="1">
      <pivotArea type="data" outline="0" fieldPosition="0">
        <references count="2">
          <reference field="4294967294" count="1" selected="0">
            <x v="0"/>
          </reference>
          <reference field="1" count="1" selected="0">
            <x v="665"/>
          </reference>
        </references>
      </pivotArea>
    </chartFormat>
    <chartFormat chart="2" format="671" series="1">
      <pivotArea type="data" outline="0" fieldPosition="0">
        <references count="2">
          <reference field="4294967294" count="1" selected="0">
            <x v="0"/>
          </reference>
          <reference field="1" count="1" selected="0">
            <x v="662"/>
          </reference>
        </references>
      </pivotArea>
    </chartFormat>
    <chartFormat chart="2" format="672" series="1">
      <pivotArea type="data" outline="0" fieldPosition="0">
        <references count="2">
          <reference field="4294967294" count="1" selected="0">
            <x v="0"/>
          </reference>
          <reference field="1" count="1" selected="0">
            <x v="663"/>
          </reference>
        </references>
      </pivotArea>
    </chartFormat>
    <chartFormat chart="2" format="673" series="1">
      <pivotArea type="data" outline="0" fieldPosition="0">
        <references count="2">
          <reference field="4294967294" count="1" selected="0">
            <x v="0"/>
          </reference>
          <reference field="1" count="1" selected="0">
            <x v="664"/>
          </reference>
        </references>
      </pivotArea>
    </chartFormat>
    <chartFormat chart="2" format="674" series="1">
      <pivotArea type="data" outline="0" fieldPosition="0">
        <references count="2">
          <reference field="4294967294" count="1" selected="0">
            <x v="0"/>
          </reference>
          <reference field="1" count="1" selected="0">
            <x v="666"/>
          </reference>
        </references>
      </pivotArea>
    </chartFormat>
    <chartFormat chart="2" format="675" series="1">
      <pivotArea type="data" outline="0" fieldPosition="0">
        <references count="2">
          <reference field="4294967294" count="1" selected="0">
            <x v="0"/>
          </reference>
          <reference field="1" count="1" selected="0">
            <x v="667"/>
          </reference>
        </references>
      </pivotArea>
    </chartFormat>
    <chartFormat chart="2" format="676" series="1">
      <pivotArea type="data" outline="0" fieldPosition="0">
        <references count="2">
          <reference field="4294967294" count="1" selected="0">
            <x v="0"/>
          </reference>
          <reference field="1" count="1" selected="0">
            <x v="668"/>
          </reference>
        </references>
      </pivotArea>
    </chartFormat>
    <chartFormat chart="2" format="677" series="1">
      <pivotArea type="data" outline="0" fieldPosition="0">
        <references count="2">
          <reference field="4294967294" count="1" selected="0">
            <x v="0"/>
          </reference>
          <reference field="1" count="1" selected="0">
            <x v="669"/>
          </reference>
        </references>
      </pivotArea>
    </chartFormat>
    <chartFormat chart="2" format="678" series="1">
      <pivotArea type="data" outline="0" fieldPosition="0">
        <references count="2">
          <reference field="4294967294" count="1" selected="0">
            <x v="0"/>
          </reference>
          <reference field="1" count="1" selected="0">
            <x v="670"/>
          </reference>
        </references>
      </pivotArea>
    </chartFormat>
    <chartFormat chart="2" format="679" series="1">
      <pivotArea type="data" outline="0" fieldPosition="0">
        <references count="2">
          <reference field="4294967294" count="1" selected="0">
            <x v="0"/>
          </reference>
          <reference field="1" count="1" selected="0">
            <x v="671"/>
          </reference>
        </references>
      </pivotArea>
    </chartFormat>
    <chartFormat chart="2" format="680" series="1">
      <pivotArea type="data" outline="0" fieldPosition="0">
        <references count="2">
          <reference field="4294967294" count="1" selected="0">
            <x v="0"/>
          </reference>
          <reference field="1" count="1" selected="0">
            <x v="672"/>
          </reference>
        </references>
      </pivotArea>
    </chartFormat>
    <chartFormat chart="2" format="681" series="1">
      <pivotArea type="data" outline="0" fieldPosition="0">
        <references count="2">
          <reference field="4294967294" count="1" selected="0">
            <x v="0"/>
          </reference>
          <reference field="1" count="1" selected="0">
            <x v="673"/>
          </reference>
        </references>
      </pivotArea>
    </chartFormat>
    <chartFormat chart="2" format="682" series="1">
      <pivotArea type="data" outline="0" fieldPosition="0">
        <references count="2">
          <reference field="4294967294" count="1" selected="0">
            <x v="0"/>
          </reference>
          <reference field="1" count="1" selected="0">
            <x v="674"/>
          </reference>
        </references>
      </pivotArea>
    </chartFormat>
    <chartFormat chart="2" format="683" series="1">
      <pivotArea type="data" outline="0" fieldPosition="0">
        <references count="2">
          <reference field="4294967294" count="1" selected="0">
            <x v="0"/>
          </reference>
          <reference field="1" count="1" selected="0">
            <x v="675"/>
          </reference>
        </references>
      </pivotArea>
    </chartFormat>
    <chartFormat chart="2" format="684" series="1">
      <pivotArea type="data" outline="0" fieldPosition="0">
        <references count="2">
          <reference field="4294967294" count="1" selected="0">
            <x v="0"/>
          </reference>
          <reference field="1" count="1" selected="0">
            <x v="676"/>
          </reference>
        </references>
      </pivotArea>
    </chartFormat>
    <chartFormat chart="2" format="685" series="1">
      <pivotArea type="data" outline="0" fieldPosition="0">
        <references count="2">
          <reference field="4294967294" count="1" selected="0">
            <x v="0"/>
          </reference>
          <reference field="1" count="1" selected="0">
            <x v="677"/>
          </reference>
        </references>
      </pivotArea>
    </chartFormat>
    <chartFormat chart="2" format="686" series="1">
      <pivotArea type="data" outline="0" fieldPosition="0">
        <references count="2">
          <reference field="4294967294" count="1" selected="0">
            <x v="0"/>
          </reference>
          <reference field="1" count="1" selected="0">
            <x v="678"/>
          </reference>
        </references>
      </pivotArea>
    </chartFormat>
    <chartFormat chart="2" format="687" series="1">
      <pivotArea type="data" outline="0" fieldPosition="0">
        <references count="2">
          <reference field="4294967294" count="1" selected="0">
            <x v="0"/>
          </reference>
          <reference field="1" count="1" selected="0">
            <x v="679"/>
          </reference>
        </references>
      </pivotArea>
    </chartFormat>
    <chartFormat chart="2" format="688" series="1">
      <pivotArea type="data" outline="0" fieldPosition="0">
        <references count="2">
          <reference field="4294967294" count="1" selected="0">
            <x v="0"/>
          </reference>
          <reference field="1" count="1" selected="0">
            <x v="683"/>
          </reference>
        </references>
      </pivotArea>
    </chartFormat>
    <chartFormat chart="2" format="689" series="1">
      <pivotArea type="data" outline="0" fieldPosition="0">
        <references count="2">
          <reference field="4294967294" count="1" selected="0">
            <x v="0"/>
          </reference>
          <reference field="1" count="1" selected="0">
            <x v="684"/>
          </reference>
        </references>
      </pivotArea>
    </chartFormat>
    <chartFormat chart="2" format="690" series="1">
      <pivotArea type="data" outline="0" fieldPosition="0">
        <references count="2">
          <reference field="4294967294" count="1" selected="0">
            <x v="0"/>
          </reference>
          <reference field="1" count="1" selected="0">
            <x v="685"/>
          </reference>
        </references>
      </pivotArea>
    </chartFormat>
    <chartFormat chart="2" format="691" series="1">
      <pivotArea type="data" outline="0" fieldPosition="0">
        <references count="2">
          <reference field="4294967294" count="1" selected="0">
            <x v="0"/>
          </reference>
          <reference field="1" count="1" selected="0">
            <x v="686"/>
          </reference>
        </references>
      </pivotArea>
    </chartFormat>
    <chartFormat chart="2" format="692" series="1">
      <pivotArea type="data" outline="0" fieldPosition="0">
        <references count="2">
          <reference field="4294967294" count="1" selected="0">
            <x v="0"/>
          </reference>
          <reference field="1" count="1" selected="0">
            <x v="687"/>
          </reference>
        </references>
      </pivotArea>
    </chartFormat>
    <chartFormat chart="2" format="693" series="1">
      <pivotArea type="data" outline="0" fieldPosition="0">
        <references count="2">
          <reference field="4294967294" count="1" selected="0">
            <x v="0"/>
          </reference>
          <reference field="1" count="1" selected="0">
            <x v="688"/>
          </reference>
        </references>
      </pivotArea>
    </chartFormat>
    <chartFormat chart="2" format="694" series="1">
      <pivotArea type="data" outline="0" fieldPosition="0">
        <references count="2">
          <reference field="4294967294" count="1" selected="0">
            <x v="0"/>
          </reference>
          <reference field="1" count="1" selected="0">
            <x v="689"/>
          </reference>
        </references>
      </pivotArea>
    </chartFormat>
    <chartFormat chart="2" format="695" series="1">
      <pivotArea type="data" outline="0" fieldPosition="0">
        <references count="2">
          <reference field="4294967294" count="1" selected="0">
            <x v="0"/>
          </reference>
          <reference field="1" count="1" selected="0">
            <x v="690"/>
          </reference>
        </references>
      </pivotArea>
    </chartFormat>
    <chartFormat chart="2" format="696" series="1">
      <pivotArea type="data" outline="0" fieldPosition="0">
        <references count="2">
          <reference field="4294967294" count="1" selected="0">
            <x v="0"/>
          </reference>
          <reference field="1" count="1" selected="0">
            <x v="691"/>
          </reference>
        </references>
      </pivotArea>
    </chartFormat>
    <chartFormat chart="2" format="697" series="1">
      <pivotArea type="data" outline="0" fieldPosition="0">
        <references count="2">
          <reference field="4294967294" count="1" selected="0">
            <x v="0"/>
          </reference>
          <reference field="1" count="1" selected="0">
            <x v="692"/>
          </reference>
        </references>
      </pivotArea>
    </chartFormat>
    <chartFormat chart="2" format="698" series="1">
      <pivotArea type="data" outline="0" fieldPosition="0">
        <references count="2">
          <reference field="4294967294" count="1" selected="0">
            <x v="0"/>
          </reference>
          <reference field="1" count="1" selected="0">
            <x v="693"/>
          </reference>
        </references>
      </pivotArea>
    </chartFormat>
    <chartFormat chart="2" format="699" series="1">
      <pivotArea type="data" outline="0" fieldPosition="0">
        <references count="2">
          <reference field="4294967294" count="1" selected="0">
            <x v="0"/>
          </reference>
          <reference field="1" count="1" selected="0">
            <x v="680"/>
          </reference>
        </references>
      </pivotArea>
    </chartFormat>
    <chartFormat chart="2" format="700" series="1">
      <pivotArea type="data" outline="0" fieldPosition="0">
        <references count="2">
          <reference field="4294967294" count="1" selected="0">
            <x v="0"/>
          </reference>
          <reference field="1" count="1" selected="0">
            <x v="681"/>
          </reference>
        </references>
      </pivotArea>
    </chartFormat>
    <chartFormat chart="2" format="701" series="1">
      <pivotArea type="data" outline="0" fieldPosition="0">
        <references count="2">
          <reference field="4294967294" count="1" selected="0">
            <x v="0"/>
          </reference>
          <reference field="1" count="1" selected="0">
            <x v="682"/>
          </reference>
        </references>
      </pivotArea>
    </chartFormat>
    <chartFormat chart="2" format="702" series="1">
      <pivotArea type="data" outline="0" fieldPosition="0">
        <references count="2">
          <reference field="4294967294" count="1" selected="0">
            <x v="0"/>
          </reference>
          <reference field="1" count="1" selected="0">
            <x v="694"/>
          </reference>
        </references>
      </pivotArea>
    </chartFormat>
    <chartFormat chart="2" format="703" series="1">
      <pivotArea type="data" outline="0" fieldPosition="0">
        <references count="2">
          <reference field="4294967294" count="1" selected="0">
            <x v="0"/>
          </reference>
          <reference field="1" count="1" selected="0">
            <x v="695"/>
          </reference>
        </references>
      </pivotArea>
    </chartFormat>
    <chartFormat chart="2" format="704" series="1">
      <pivotArea type="data" outline="0" fieldPosition="0">
        <references count="2">
          <reference field="4294967294" count="1" selected="0">
            <x v="0"/>
          </reference>
          <reference field="1" count="1" selected="0">
            <x v="699"/>
          </reference>
        </references>
      </pivotArea>
    </chartFormat>
    <chartFormat chart="2" format="705" series="1">
      <pivotArea type="data" outline="0" fieldPosition="0">
        <references count="2">
          <reference field="4294967294" count="1" selected="0">
            <x v="0"/>
          </reference>
          <reference field="1" count="1" selected="0">
            <x v="700"/>
          </reference>
        </references>
      </pivotArea>
    </chartFormat>
    <chartFormat chart="2" format="706" series="1">
      <pivotArea type="data" outline="0" fieldPosition="0">
        <references count="2">
          <reference field="4294967294" count="1" selected="0">
            <x v="0"/>
          </reference>
          <reference field="1" count="1" selected="0">
            <x v="696"/>
          </reference>
        </references>
      </pivotArea>
    </chartFormat>
    <chartFormat chart="2" format="707" series="1">
      <pivotArea type="data" outline="0" fieldPosition="0">
        <references count="2">
          <reference field="4294967294" count="1" selected="0">
            <x v="0"/>
          </reference>
          <reference field="1" count="1" selected="0">
            <x v="697"/>
          </reference>
        </references>
      </pivotArea>
    </chartFormat>
    <chartFormat chart="2" format="708" series="1">
      <pivotArea type="data" outline="0" fieldPosition="0">
        <references count="2">
          <reference field="4294967294" count="1" selected="0">
            <x v="0"/>
          </reference>
          <reference field="1" count="1" selected="0">
            <x v="698"/>
          </reference>
        </references>
      </pivotArea>
    </chartFormat>
    <chartFormat chart="2" format="709" series="1">
      <pivotArea type="data" outline="0" fieldPosition="0">
        <references count="2">
          <reference field="4294967294" count="1" selected="0">
            <x v="0"/>
          </reference>
          <reference field="1" count="1" selected="0">
            <x v="701"/>
          </reference>
        </references>
      </pivotArea>
    </chartFormat>
    <chartFormat chart="2" format="710" series="1">
      <pivotArea type="data" outline="0" fieldPosition="0">
        <references count="2">
          <reference field="4294967294" count="1" selected="0">
            <x v="0"/>
          </reference>
          <reference field="1" count="1" selected="0">
            <x v="702"/>
          </reference>
        </references>
      </pivotArea>
    </chartFormat>
    <chartFormat chart="2" format="711" series="1">
      <pivotArea type="data" outline="0" fieldPosition="0">
        <references count="2">
          <reference field="4294967294" count="1" selected="0">
            <x v="0"/>
          </reference>
          <reference field="1" count="1" selected="0">
            <x v="706"/>
          </reference>
        </references>
      </pivotArea>
    </chartFormat>
    <chartFormat chart="2" format="712" series="1">
      <pivotArea type="data" outline="0" fieldPosition="0">
        <references count="2">
          <reference field="4294967294" count="1" selected="0">
            <x v="0"/>
          </reference>
          <reference field="1" count="1" selected="0">
            <x v="707"/>
          </reference>
        </references>
      </pivotArea>
    </chartFormat>
    <chartFormat chart="2" format="713" series="1">
      <pivotArea type="data" outline="0" fieldPosition="0">
        <references count="2">
          <reference field="4294967294" count="1" selected="0">
            <x v="0"/>
          </reference>
          <reference field="1" count="1" selected="0">
            <x v="703"/>
          </reference>
        </references>
      </pivotArea>
    </chartFormat>
    <chartFormat chart="2" format="714" series="1">
      <pivotArea type="data" outline="0" fieldPosition="0">
        <references count="2">
          <reference field="4294967294" count="1" selected="0">
            <x v="0"/>
          </reference>
          <reference field="1" count="1" selected="0">
            <x v="704"/>
          </reference>
        </references>
      </pivotArea>
    </chartFormat>
    <chartFormat chart="2" format="715" series="1">
      <pivotArea type="data" outline="0" fieldPosition="0">
        <references count="2">
          <reference field="4294967294" count="1" selected="0">
            <x v="0"/>
          </reference>
          <reference field="1" count="1" selected="0">
            <x v="705"/>
          </reference>
        </references>
      </pivotArea>
    </chartFormat>
    <chartFormat chart="2" format="716" series="1">
      <pivotArea type="data" outline="0" fieldPosition="0">
        <references count="2">
          <reference field="4294967294" count="1" selected="0">
            <x v="0"/>
          </reference>
          <reference field="1" count="1" selected="0">
            <x v="708"/>
          </reference>
        </references>
      </pivotArea>
    </chartFormat>
    <chartFormat chart="2" format="717" series="1">
      <pivotArea type="data" outline="0" fieldPosition="0">
        <references count="2">
          <reference field="4294967294" count="1" selected="0">
            <x v="0"/>
          </reference>
          <reference field="1" count="1" selected="0">
            <x v="709"/>
          </reference>
        </references>
      </pivotArea>
    </chartFormat>
    <chartFormat chart="2" format="718" series="1">
      <pivotArea type="data" outline="0" fieldPosition="0">
        <references count="2">
          <reference field="4294967294" count="1" selected="0">
            <x v="0"/>
          </reference>
          <reference field="1" count="1" selected="0">
            <x v="713"/>
          </reference>
        </references>
      </pivotArea>
    </chartFormat>
    <chartFormat chart="2" format="719" series="1">
      <pivotArea type="data" outline="0" fieldPosition="0">
        <references count="2">
          <reference field="4294967294" count="1" selected="0">
            <x v="0"/>
          </reference>
          <reference field="1" count="1" selected="0">
            <x v="714"/>
          </reference>
        </references>
      </pivotArea>
    </chartFormat>
    <chartFormat chart="2" format="720" series="1">
      <pivotArea type="data" outline="0" fieldPosition="0">
        <references count="2">
          <reference field="4294967294" count="1" selected="0">
            <x v="0"/>
          </reference>
          <reference field="1" count="1" selected="0">
            <x v="715"/>
          </reference>
        </references>
      </pivotArea>
    </chartFormat>
    <chartFormat chart="2" format="721" series="1">
      <pivotArea type="data" outline="0" fieldPosition="0">
        <references count="2">
          <reference field="4294967294" count="1" selected="0">
            <x v="0"/>
          </reference>
          <reference field="1" count="1" selected="0">
            <x v="710"/>
          </reference>
        </references>
      </pivotArea>
    </chartFormat>
    <chartFormat chart="2" format="722" series="1">
      <pivotArea type="data" outline="0" fieldPosition="0">
        <references count="2">
          <reference field="4294967294" count="1" selected="0">
            <x v="0"/>
          </reference>
          <reference field="1" count="1" selected="0">
            <x v="711"/>
          </reference>
        </references>
      </pivotArea>
    </chartFormat>
    <chartFormat chart="2" format="723" series="1">
      <pivotArea type="data" outline="0" fieldPosition="0">
        <references count="2">
          <reference field="4294967294" count="1" selected="0">
            <x v="0"/>
          </reference>
          <reference field="1" count="1" selected="0">
            <x v="712"/>
          </reference>
        </references>
      </pivotArea>
    </chartFormat>
    <chartFormat chart="2" format="724" series="1">
      <pivotArea type="data" outline="0" fieldPosition="0">
        <references count="2">
          <reference field="4294967294" count="1" selected="0">
            <x v="0"/>
          </reference>
          <reference field="1" count="1" selected="0">
            <x v="716"/>
          </reference>
        </references>
      </pivotArea>
    </chartFormat>
    <chartFormat chart="2" format="725" series="1">
      <pivotArea type="data" outline="0" fieldPosition="0">
        <references count="2">
          <reference field="4294967294" count="1" selected="0">
            <x v="0"/>
          </reference>
          <reference field="1" count="1" selected="0">
            <x v="717"/>
          </reference>
        </references>
      </pivotArea>
    </chartFormat>
    <chartFormat chart="2" format="726" series="1">
      <pivotArea type="data" outline="0" fieldPosition="0">
        <references count="2">
          <reference field="4294967294" count="1" selected="0">
            <x v="0"/>
          </reference>
          <reference field="1" count="1" selected="0">
            <x v="721"/>
          </reference>
        </references>
      </pivotArea>
    </chartFormat>
    <chartFormat chart="2" format="727" series="1">
      <pivotArea type="data" outline="0" fieldPosition="0">
        <references count="2">
          <reference field="4294967294" count="1" selected="0">
            <x v="0"/>
          </reference>
          <reference field="1" count="1" selected="0">
            <x v="722"/>
          </reference>
        </references>
      </pivotArea>
    </chartFormat>
    <chartFormat chart="2" format="728" series="1">
      <pivotArea type="data" outline="0" fieldPosition="0">
        <references count="2">
          <reference field="4294967294" count="1" selected="0">
            <x v="0"/>
          </reference>
          <reference field="1" count="1" selected="0">
            <x v="723"/>
          </reference>
        </references>
      </pivotArea>
    </chartFormat>
    <chartFormat chart="2" format="729" series="1">
      <pivotArea type="data" outline="0" fieldPosition="0">
        <references count="2">
          <reference field="4294967294" count="1" selected="0">
            <x v="0"/>
          </reference>
          <reference field="1" count="1" selected="0">
            <x v="718"/>
          </reference>
        </references>
      </pivotArea>
    </chartFormat>
    <chartFormat chart="2" format="730" series="1">
      <pivotArea type="data" outline="0" fieldPosition="0">
        <references count="2">
          <reference field="4294967294" count="1" selected="0">
            <x v="0"/>
          </reference>
          <reference field="1" count="1" selected="0">
            <x v="719"/>
          </reference>
        </references>
      </pivotArea>
    </chartFormat>
    <chartFormat chart="2" format="731" series="1">
      <pivotArea type="data" outline="0" fieldPosition="0">
        <references count="2">
          <reference field="4294967294" count="1" selected="0">
            <x v="0"/>
          </reference>
          <reference field="1" count="1" selected="0">
            <x v="720"/>
          </reference>
        </references>
      </pivotArea>
    </chartFormat>
    <chartFormat chart="2" format="732" series="1">
      <pivotArea type="data" outline="0" fieldPosition="0">
        <references count="2">
          <reference field="4294967294" count="1" selected="0">
            <x v="0"/>
          </reference>
          <reference field="1" count="1" selected="0">
            <x v="727"/>
          </reference>
        </references>
      </pivotArea>
    </chartFormat>
    <chartFormat chart="2" format="733" series="1">
      <pivotArea type="data" outline="0" fieldPosition="0">
        <references count="2">
          <reference field="4294967294" count="1" selected="0">
            <x v="0"/>
          </reference>
          <reference field="1" count="1" selected="0">
            <x v="728"/>
          </reference>
        </references>
      </pivotArea>
    </chartFormat>
    <chartFormat chart="2" format="734" series="1">
      <pivotArea type="data" outline="0" fieldPosition="0">
        <references count="2">
          <reference field="4294967294" count="1" selected="0">
            <x v="0"/>
          </reference>
          <reference field="1" count="1" selected="0">
            <x v="724"/>
          </reference>
        </references>
      </pivotArea>
    </chartFormat>
    <chartFormat chart="2" format="735" series="1">
      <pivotArea type="data" outline="0" fieldPosition="0">
        <references count="2">
          <reference field="4294967294" count="1" selected="0">
            <x v="0"/>
          </reference>
          <reference field="1" count="1" selected="0">
            <x v="725"/>
          </reference>
        </references>
      </pivotArea>
    </chartFormat>
    <chartFormat chart="2" format="736" series="1">
      <pivotArea type="data" outline="0" fieldPosition="0">
        <references count="2">
          <reference field="4294967294" count="1" selected="0">
            <x v="0"/>
          </reference>
          <reference field="1" count="1" selected="0">
            <x v="726"/>
          </reference>
        </references>
      </pivotArea>
    </chartFormat>
    <chartFormat chart="2" format="737" series="1">
      <pivotArea type="data" outline="0" fieldPosition="0">
        <references count="2">
          <reference field="4294967294" count="1" selected="0">
            <x v="0"/>
          </reference>
          <reference field="1" count="1" selected="0">
            <x v="729"/>
          </reference>
        </references>
      </pivotArea>
    </chartFormat>
    <chartFormat chart="2" format="738" series="1">
      <pivotArea type="data" outline="0" fieldPosition="0">
        <references count="2">
          <reference field="4294967294" count="1" selected="0">
            <x v="0"/>
          </reference>
          <reference field="1" count="1" selected="0">
            <x v="730"/>
          </reference>
        </references>
      </pivotArea>
    </chartFormat>
    <chartFormat chart="2" format="739" series="1">
      <pivotArea type="data" outline="0" fieldPosition="0">
        <references count="2">
          <reference field="4294967294" count="1" selected="0">
            <x v="0"/>
          </reference>
          <reference field="1" count="1" selected="0">
            <x v="731"/>
          </reference>
        </references>
      </pivotArea>
    </chartFormat>
    <chartFormat chart="2" format="740" series="1">
      <pivotArea type="data" outline="0" fieldPosition="0">
        <references count="2">
          <reference field="4294967294" count="1" selected="0">
            <x v="0"/>
          </reference>
          <reference field="1" count="1" selected="0">
            <x v="735"/>
          </reference>
        </references>
      </pivotArea>
    </chartFormat>
    <chartFormat chart="2" format="741" series="1">
      <pivotArea type="data" outline="0" fieldPosition="0">
        <references count="2">
          <reference field="4294967294" count="1" selected="0">
            <x v="0"/>
          </reference>
          <reference field="1" count="1" selected="0">
            <x v="736"/>
          </reference>
        </references>
      </pivotArea>
    </chartFormat>
    <chartFormat chart="2" format="742" series="1">
      <pivotArea type="data" outline="0" fieldPosition="0">
        <references count="2">
          <reference field="4294967294" count="1" selected="0">
            <x v="0"/>
          </reference>
          <reference field="1" count="1" selected="0">
            <x v="737"/>
          </reference>
        </references>
      </pivotArea>
    </chartFormat>
    <chartFormat chart="2" format="743" series="1">
      <pivotArea type="data" outline="0" fieldPosition="0">
        <references count="2">
          <reference field="4294967294" count="1" selected="0">
            <x v="0"/>
          </reference>
          <reference field="1" count="1" selected="0">
            <x v="738"/>
          </reference>
        </references>
      </pivotArea>
    </chartFormat>
    <chartFormat chart="2" format="744" series="1">
      <pivotArea type="data" outline="0" fieldPosition="0">
        <references count="2">
          <reference field="4294967294" count="1" selected="0">
            <x v="0"/>
          </reference>
          <reference field="1" count="1" selected="0">
            <x v="739"/>
          </reference>
        </references>
      </pivotArea>
    </chartFormat>
    <chartFormat chart="2" format="745" series="1">
      <pivotArea type="data" outline="0" fieldPosition="0">
        <references count="2">
          <reference field="4294967294" count="1" selected="0">
            <x v="0"/>
          </reference>
          <reference field="1" count="1" selected="0">
            <x v="740"/>
          </reference>
        </references>
      </pivotArea>
    </chartFormat>
    <chartFormat chart="2" format="746" series="1">
      <pivotArea type="data" outline="0" fieldPosition="0">
        <references count="2">
          <reference field="4294967294" count="1" selected="0">
            <x v="0"/>
          </reference>
          <reference field="1" count="1" selected="0">
            <x v="741"/>
          </reference>
        </references>
      </pivotArea>
    </chartFormat>
    <chartFormat chart="2" format="747" series="1">
      <pivotArea type="data" outline="0" fieldPosition="0">
        <references count="2">
          <reference field="4294967294" count="1" selected="0">
            <x v="0"/>
          </reference>
          <reference field="1" count="1" selected="0">
            <x v="742"/>
          </reference>
        </references>
      </pivotArea>
    </chartFormat>
    <chartFormat chart="2" format="748" series="1">
      <pivotArea type="data" outline="0" fieldPosition="0">
        <references count="2">
          <reference field="4294967294" count="1" selected="0">
            <x v="0"/>
          </reference>
          <reference field="1" count="1" selected="0">
            <x v="732"/>
          </reference>
        </references>
      </pivotArea>
    </chartFormat>
    <chartFormat chart="2" format="749" series="1">
      <pivotArea type="data" outline="0" fieldPosition="0">
        <references count="2">
          <reference field="4294967294" count="1" selected="0">
            <x v="0"/>
          </reference>
          <reference field="1" count="1" selected="0">
            <x v="733"/>
          </reference>
        </references>
      </pivotArea>
    </chartFormat>
    <chartFormat chart="2" format="750" series="1">
      <pivotArea type="data" outline="0" fieldPosition="0">
        <references count="2">
          <reference field="4294967294" count="1" selected="0">
            <x v="0"/>
          </reference>
          <reference field="1" count="1" selected="0">
            <x v="734"/>
          </reference>
        </references>
      </pivotArea>
    </chartFormat>
    <chartFormat chart="2" format="751" series="1">
      <pivotArea type="data" outline="0" fieldPosition="0">
        <references count="2">
          <reference field="4294967294" count="1" selected="0">
            <x v="0"/>
          </reference>
          <reference field="1" count="1" selected="0">
            <x v="743"/>
          </reference>
        </references>
      </pivotArea>
    </chartFormat>
    <chartFormat chart="2" format="752" series="1">
      <pivotArea type="data" outline="0" fieldPosition="0">
        <references count="2">
          <reference field="4294967294" count="1" selected="0">
            <x v="0"/>
          </reference>
          <reference field="1" count="1" selected="0">
            <x v="744"/>
          </reference>
        </references>
      </pivotArea>
    </chartFormat>
    <chartFormat chart="2" format="753" series="1">
      <pivotArea type="data" outline="0" fieldPosition="0">
        <references count="2">
          <reference field="4294967294" count="1" selected="0">
            <x v="0"/>
          </reference>
          <reference field="1" count="1" selected="0">
            <x v="748"/>
          </reference>
        </references>
      </pivotArea>
    </chartFormat>
    <chartFormat chart="2" format="754" series="1">
      <pivotArea type="data" outline="0" fieldPosition="0">
        <references count="2">
          <reference field="4294967294" count="1" selected="0">
            <x v="0"/>
          </reference>
          <reference field="1" count="1" selected="0">
            <x v="745"/>
          </reference>
        </references>
      </pivotArea>
    </chartFormat>
    <chartFormat chart="2" format="755" series="1">
      <pivotArea type="data" outline="0" fieldPosition="0">
        <references count="2">
          <reference field="4294967294" count="1" selected="0">
            <x v="0"/>
          </reference>
          <reference field="1" count="1" selected="0">
            <x v="746"/>
          </reference>
        </references>
      </pivotArea>
    </chartFormat>
    <chartFormat chart="2" format="756" series="1">
      <pivotArea type="data" outline="0" fieldPosition="0">
        <references count="2">
          <reference field="4294967294" count="1" selected="0">
            <x v="0"/>
          </reference>
          <reference field="1" count="1" selected="0">
            <x v="747"/>
          </reference>
        </references>
      </pivotArea>
    </chartFormat>
    <chartFormat chart="2" format="757" series="1">
      <pivotArea type="data" outline="0" fieldPosition="0">
        <references count="2">
          <reference field="4294967294" count="1" selected="0">
            <x v="0"/>
          </reference>
          <reference field="1" count="1" selected="0">
            <x v="749"/>
          </reference>
        </references>
      </pivotArea>
    </chartFormat>
    <chartFormat chart="2" format="758" series="1">
      <pivotArea type="data" outline="0" fieldPosition="0">
        <references count="2">
          <reference field="4294967294" count="1" selected="0">
            <x v="0"/>
          </reference>
          <reference field="1" count="1" selected="0">
            <x v="750"/>
          </reference>
        </references>
      </pivotArea>
    </chartFormat>
    <chartFormat chart="2" format="759" series="1">
      <pivotArea type="data" outline="0" fieldPosition="0">
        <references count="2">
          <reference field="4294967294" count="1" selected="0">
            <x v="0"/>
          </reference>
          <reference field="1" count="1" selected="0">
            <x v="757"/>
          </reference>
        </references>
      </pivotArea>
    </chartFormat>
    <chartFormat chart="2" format="760" series="1">
      <pivotArea type="data" outline="0" fieldPosition="0">
        <references count="2">
          <reference field="4294967294" count="1" selected="0">
            <x v="0"/>
          </reference>
          <reference field="1" count="1" selected="0">
            <x v="758"/>
          </reference>
        </references>
      </pivotArea>
    </chartFormat>
    <chartFormat chart="2" format="761" series="1">
      <pivotArea type="data" outline="0" fieldPosition="0">
        <references count="2">
          <reference field="4294967294" count="1" selected="0">
            <x v="0"/>
          </reference>
          <reference field="1" count="1" selected="0">
            <x v="756"/>
          </reference>
        </references>
      </pivotArea>
    </chartFormat>
    <chartFormat chart="2" format="762" series="1">
      <pivotArea type="data" outline="0" fieldPosition="0">
        <references count="2">
          <reference field="4294967294" count="1" selected="0">
            <x v="0"/>
          </reference>
          <reference field="1" count="1" selected="0">
            <x v="759"/>
          </reference>
        </references>
      </pivotArea>
    </chartFormat>
    <chartFormat chart="2" format="763" series="1">
      <pivotArea type="data" outline="0" fieldPosition="0">
        <references count="2">
          <reference field="4294967294" count="1" selected="0">
            <x v="0"/>
          </reference>
          <reference field="1" count="1" selected="0">
            <x v="76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DYNAMICS_GP2016_1" backgroundRefresh="0" connectionId="5" xr16:uid="{00000000-0016-0000-0000-000001000000}" autoFormatId="16" applyNumberFormats="0" applyBorderFormats="0" applyFontFormats="0" applyPatternFormats="0" applyAlignmentFormats="0" applyWidthHeightFormats="0">
  <queryTableRefresh nextId="3">
    <queryTableFields count="2">
      <queryTableField id="1" name="Stat" tableColumnId="1"/>
      <queryTableField id="2" name="Count"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DYNAMICS_GP2016_2" backgroundRefresh="0" connectionId="4" xr16:uid="{00000000-0016-0000-0000-000002000000}" autoFormatId="16" applyNumberFormats="0" applyBorderFormats="0" applyFontFormats="0" applyPatternFormats="0" applyAlignmentFormats="0" applyWidthHeightFormats="0">
  <queryTableRefresh nextId="3">
    <queryTableFields count="2">
      <queryTableField id="1" name="User Name" tableColumnId="1"/>
      <queryTableField id="2" name="Processes"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Dynamics GP 2016_1" connectionId="9" xr16:uid="{1766026C-A186-49C4-BDFA-72258E1020FB}" autoFormatId="16" applyNumberFormats="0" applyBorderFormats="0" applyFontFormats="0" applyPatternFormats="0" applyAlignmentFormats="0" applyWidthHeightFormats="0">
  <queryTableRefresh nextId="19">
    <queryTableFields count="6">
      <queryTableField id="13" name="User Name" tableColumnId="1"/>
      <queryTableField id="14" name="Type" tableColumnId="2"/>
      <queryTableField id="15" name="Status" tableColumnId="3"/>
      <queryTableField id="16" name="Proc status" tableColumnId="4"/>
      <queryTableField id="17" name="Company" tableColumnId="5"/>
      <queryTableField id="18" name="Logged in at" tableColumnId="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14" xr16:uid="{00000000-0016-0000-0100-000003000000}" autoFormatId="16" applyNumberFormats="0" applyBorderFormats="0" applyFontFormats="0" applyPatternFormats="0" applyAlignmentFormats="0" applyWidthHeightFormats="0">
  <queryTableRefresh nextId="19">
    <queryTableFields count="17">
      <queryTableField id="1" name="User Name" tableColumnId="1"/>
      <queryTableField id="2" name="Type" tableColumnId="2"/>
      <queryTableField id="3" name="Company" tableColumnId="3"/>
      <queryTableField id="4" name="Logged in at" tableColumnId="4"/>
      <queryTableField id="5" name="For how long?" tableColumnId="5"/>
      <queryTableField id="6" name="Session" tableColumnId="6"/>
      <queryTableField id="7" name="GP_spid" tableColumnId="7"/>
      <queryTableField id="8" name="Spid_count" tableColumnId="8"/>
      <queryTableField id="9" name="Status" tableColumnId="9"/>
      <queryTableField id="10" name="Proc status" tableColumnId="10"/>
      <queryTableField id="11" name="Last" tableColumnId="11"/>
      <queryTableField id="12" name="Mins." tableColumnId="12"/>
      <queryTableField id="13" name="2nd Last" tableColumnId="13"/>
      <queryTableField id="14" name="Mins. 2nd" tableColumnId="14"/>
      <queryTableField id="15" name="B" tableColumnId="15"/>
      <queryTableField id="16" name="R" tableColumnId="16"/>
      <queryTableField id="17" name="T"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3" xr16:uid="{00000000-0016-0000-0200-000004000000}" autoFormatId="16" applyNumberFormats="0" applyBorderFormats="0" applyFontFormats="0" applyPatternFormats="0" applyAlignmentFormats="0" applyWidthHeightFormats="0">
  <queryTableRefresh nextId="16">
    <queryTableFields count="14">
      <queryTableField id="1" name="TableName" tableColumnId="1"/>
      <queryTableField id="2" name="BatchSource" tableColumnId="2"/>
      <queryTableField id="3" name="Batch#" tableColumnId="3"/>
      <queryTableField id="4" name="SERIES" tableColumnId="4"/>
      <queryTableField id="5" name="MKDTOPST" tableColumnId="5"/>
      <queryTableField id="6" name="NUMOFTRX" tableColumnId="6"/>
      <queryTableField id="7" name="BACHFREQ" tableColumnId="7"/>
      <queryTableField id="8" name="BCHCOMNT" tableColumnId="8"/>
      <queryTableField id="9" name="BCHTOTAL" tableColumnId="9"/>
      <queryTableField id="10" name="CREATDDT" tableColumnId="10"/>
      <queryTableField id="11" name="BCHSTTUS" tableColumnId="11"/>
      <queryTableField id="12" name="BatchStatusDescription" tableColumnId="12"/>
      <queryTableField id="13" name="TRXSORCE" tableColumnId="13"/>
      <queryTableField id="14" name="USERID" tableColumnId="1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6" xr16:uid="{00000000-0016-0000-0300-000005000000}" autoFormatId="16" applyNumberFormats="0" applyBorderFormats="0" applyFontFormats="0" applyPatternFormats="0" applyAlignmentFormats="0" applyWidthHeightFormats="0">
  <queryTableRefresh nextId="5">
    <queryTableFields count="4">
      <queryTableField id="1" name="UserID" tableColumnId="1"/>
      <queryTableField id="2" name="DocNo Locked" tableColumnId="2"/>
      <queryTableField id="3" name="LoginDate" tableColumnId="3"/>
      <queryTableField id="4" name="table_path_nam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DYNAMICS_GP2016_2" backgroundRefresh="0" connectionId="7" xr16:uid="{00000000-0016-0000-0400-000006000000}" autoFormatId="16" applyNumberFormats="0" applyBorderFormats="0" applyFontFormats="0" applyPatternFormats="0" applyAlignmentFormats="0" applyWidthHeightFormats="0">
  <queryTableRefresh nextId="5">
    <queryTableFields count="4">
      <queryTableField id="1" name="TableName" tableColumnId="1"/>
      <queryTableField id="2" name="session_id" tableColumnId="2"/>
      <queryTableField id="3" name="row_id" tableColumnId="3"/>
      <queryTableField id="4" name="table_path_name"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8" xr16:uid="{00000000-0016-0000-0500-000007000000}" autoFormatId="16" applyNumberFormats="0" applyBorderFormats="0" applyFontFormats="0" applyPatternFormats="0" applyAlignmentFormats="0" applyWidthHeightFormats="0">
  <queryTableRefresh nextId="13">
    <queryTableFields count="10">
      <queryTableField id="2" name="WINTYPE" tableColumnId="2"/>
      <queryTableField id="3" name="USERID" tableColumnId="3"/>
      <queryTableField id="4" name="CMPNYNAM" tableColumnId="4"/>
      <queryTableField id="5" name="BCHSOURC" tableColumnId="5"/>
      <queryTableField id="6" name="BACHNUMB" tableColumnId="6"/>
      <queryTableField id="7" name="POSTING" tableColumnId="7"/>
      <queryTableField id="8" name="TRXSOURC" tableColumnId="8"/>
      <queryTableField id="10" name="LinkToActivity" tableColumnId="1"/>
      <queryTableField id="11" name="Description" tableColumnId="10"/>
      <queryTableField id="12" name="DEX_ROW_ID"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10" xr16:uid="{00000000-0016-0000-0600-000008000000}" autoFormatId="16" applyNumberFormats="0" applyBorderFormats="0" applyFontFormats="0" applyPatternFormats="0" applyAlignmentFormats="0" applyWidthHeightFormats="0">
  <queryTableRefresh nextId="10">
    <queryTableFields count="7">
      <queryTableField id="1" name="TableName" tableColumnId="1"/>
      <queryTableField id="3" name="LastBatch" tableColumnId="3"/>
      <queryTableField id="5" name="loginName" tableColumnId="5"/>
      <queryTableField id="6" name="spid" tableColumnId="6"/>
      <queryTableField id="7" name="Cmd" tableColumnId="7"/>
      <queryTableField id="8" name="Login" tableColumnId="2"/>
      <queryTableField id="9" name="Status"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11" xr16:uid="{00000000-0016-0000-0700-000009000000}" autoFormatId="16" applyNumberFormats="0" applyBorderFormats="0" applyFontFormats="0" applyPatternFormats="0" applyAlignmentFormats="0" applyWidthHeightFormats="0">
  <queryTableRefresh nextId="13">
    <queryTableFields count="10">
      <queryTableField id="2" name="RULEID" tableColumnId="2"/>
      <queryTableField id="3" name="RSRCID" tableColumnId="3"/>
      <queryTableField id="4" name="RSRCSBID" tableColumnId="4"/>
      <queryTableField id="5" name="CMPANYID" tableColumnId="5"/>
      <queryTableField id="6" name="USERID" tableColumnId="6"/>
      <queryTableField id="7" name="RSCSTATE" tableColumnId="7"/>
      <queryTableField id="8" name="RSRDESC" tableColumnId="8"/>
      <queryTableField id="9" name="USECT" tableColumnId="9"/>
      <queryTableField id="11" name="LinkToActivity" tableColumnId="1"/>
      <queryTableField id="12" name="DEX_ROW_ID" tableColumnId="10"/>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from DYNAMICS_GP2016" backgroundRefresh="0" connectionId="12" xr16:uid="{00000000-0016-0000-0800-00000A000000}" autoFormatId="16" applyNumberFormats="0" applyBorderFormats="0" applyFontFormats="0" applyPatternFormats="0" applyAlignmentFormats="0" applyWidthHeightFormats="0">
  <queryTableRefresh nextId="9">
    <queryTableFields count="8">
      <queryTableField id="1" name="TableName" tableColumnId="1"/>
      <queryTableField id="2" name="session_id" tableColumnId="2"/>
      <queryTableField id="3" name="sqlsvr_spid" tableColumnId="3"/>
      <queryTableField id="4" name="LinkToActivity" tableColumnId="4"/>
      <queryTableField id="5" name="USERID" tableColumnId="5"/>
      <queryTableField id="6" name="CMPNYNAM" tableColumnId="6"/>
      <queryTableField id="7" name="SQL status" tableColumnId="7"/>
      <queryTableField id="8" name="Spid_count" tableColumnId="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from Dynamics GP 2016" backgroundRefresh="0" connectionId="13" xr16:uid="{00000000-0016-0000-0900-00000B000000}" autoFormatId="16" applyNumberFormats="0" applyBorderFormats="0" applyFontFormats="0" applyPatternFormats="0" applyAlignmentFormats="0" applyWidthHeightFormats="0">
  <queryTableRefresh nextId="12">
    <queryTableFields count="11">
      <queryTableField id="1" name="Company" tableColumnId="1"/>
      <queryTableField id="2" name="UserID" tableColumnId="2"/>
      <queryTableField id="3" name="INQYTYPE" tableColumnId="3"/>
      <queryTableField id="4" name="DATE1" tableColumnId="4"/>
      <queryTableField id="5" name="TIME1" tableColumnId="5"/>
      <queryTableField id="6" name="Description" tableColumnId="6"/>
      <queryTableField id="7" name="FiveMinPeriod" tableColumnId="7"/>
      <queryTableField id="8" name="Code" tableColumnId="8"/>
      <queryTableField id="9" name="FiveMinSegment" tableColumnId="9"/>
      <queryTableField id="10" name="origTIME1" tableColumnId="10"/>
      <queryTableField id="11" name="minTime" tableColumnId="1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from Dynamics GP 2016" backgroundRefresh="0" connectionId="2" xr16:uid="{CA519BA9-0DD1-4B7C-A7BC-AAE69959EB0B}" autoFormatId="16" applyNumberFormats="0" applyBorderFormats="0" applyFontFormats="0" applyPatternFormats="0" applyAlignmentFormats="0" applyWidthHeightFormats="0">
  <queryTableRefresh nextId="6">
    <queryTableFields count="4">
      <queryTableField id="2" name="monitordate" tableColumnId="1"/>
      <queryTableField id="3" name="ActivityDate" tableColumnId="2"/>
      <queryTableField id="4" name="ActivityHour" tableColumnId="3"/>
      <queryTableField id="5" name="ACTIVITY" tableColumnId="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from Dynamics GP 2016" backgroundRefresh="0" connectionId="1" xr16:uid="{686B6BB1-D148-450C-955C-6B0DFAB56AEE}" autoFormatId="16" applyNumberFormats="0" applyBorderFormats="0" applyFontFormats="0" applyPatternFormats="0" applyAlignmentFormats="0" applyWidthHeightFormats="0">
  <queryTableRefresh nextId="6">
    <queryTableFields count="3">
      <queryTableField id="2" name="Module" tableColumnId="1"/>
      <queryTableField id="3" name="monitordate" tableColumnId="2"/>
      <queryTableField id="4" name="ACTIVITY"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QuickStats" displayName="tblQuickStats" ref="A5:B11" tableType="queryTable" totalsRowShown="0">
  <autoFilter ref="A5:B11" xr:uid="{E090CB1D-45E1-4927-9351-7AFC7940018A}"/>
  <sortState xmlns:xlrd2="http://schemas.microsoft.com/office/spreadsheetml/2017/richdata2" ref="A6:B11">
    <sortCondition ref="A5:A11"/>
  </sortState>
  <tableColumns count="2">
    <tableColumn id="1" xr3:uid="{00000000-0010-0000-0100-000001000000}" uniqueName="1" name="Stat" queryTableFieldId="1"/>
    <tableColumn id="2" xr3:uid="{00000000-0010-0000-0100-000002000000}" uniqueName="2" name="Count" queryTableFieldId="2" dataDxfId="61"/>
  </tableColumns>
  <tableStyleInfo name="Azure Strip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blDashboardSysprocesses" displayName="tblDashboardSysprocesses" ref="L3:M7" tableType="queryTable" totalsRowShown="0">
  <autoFilter ref="L3:M7" xr:uid="{014B9114-9605-41E5-A075-DF7E9830619E}"/>
  <sortState xmlns:xlrd2="http://schemas.microsoft.com/office/spreadsheetml/2017/richdata2" ref="L4:M7">
    <sortCondition ref="L3:L7"/>
  </sortState>
  <tableColumns count="2">
    <tableColumn id="1" xr3:uid="{00000000-0010-0000-0200-000001000000}" uniqueName="1" name="User Name" queryTableFieldId="1"/>
    <tableColumn id="2" xr3:uid="{00000000-0010-0000-0200-000002000000}" uniqueName="2" name="Processes" queryTableFieldId="2"/>
  </tableColumns>
  <tableStyleInfo name="Cyan strip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775046-B2F6-4D6B-B40F-2CEFC9C0621B}" name="tblDashboardUsers" displayName="tblDashboardUsers" ref="D3:I4" tableType="queryTable" insertRow="1" totalsRowShown="0">
  <autoFilter ref="D3:I4" xr:uid="{B1775046-B2F6-4D6B-B40F-2CEFC9C0621B}"/>
  <tableColumns count="6">
    <tableColumn id="1" xr3:uid="{11F8E563-1CB7-48EA-AD53-68CFD0F82922}" uniqueName="1" name="User Name" queryTableFieldId="13" dataDxfId="60"/>
    <tableColumn id="2" xr3:uid="{5B9A2FB6-463B-4E0D-B489-A82EF1188DDB}" uniqueName="2" name="Type" queryTableFieldId="14"/>
    <tableColumn id="3" xr3:uid="{476CC990-6953-46E6-AEEC-EEA22338091A}" uniqueName="3" name="Status" queryTableFieldId="15"/>
    <tableColumn id="4" xr3:uid="{92F4D106-1D3A-418D-920A-E764B2AFD03F}" uniqueName="4" name="Proc status" queryTableFieldId="16"/>
    <tableColumn id="5" xr3:uid="{5491F56C-63C1-4FC8-BB55-41B0ACCF2DF1}" uniqueName="5" name="Company" queryTableFieldId="17"/>
    <tableColumn id="6" xr3:uid="{B0BDB31B-851C-4A95-B35D-C777E060DADB}" uniqueName="6" name="Logged in at" queryTableFieldId="18"/>
  </tableColumns>
  <tableStyleInfo name="Teal strip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Users" displayName="tblUsers" ref="A3:Q4" tableType="queryTable" insertRow="1" totalsRowShown="0">
  <autoFilter ref="A3:Q4" xr:uid="{055950E8-8338-4DE4-9129-E8F16437A94C}"/>
  <sortState xmlns:xlrd2="http://schemas.microsoft.com/office/spreadsheetml/2017/richdata2" ref="A4:Q4">
    <sortCondition descending="1" ref="D3:D4"/>
  </sortState>
  <tableColumns count="17">
    <tableColumn id="1" xr3:uid="{00000000-0010-0000-0300-000001000000}" uniqueName="1" name="User Name" queryTableFieldId="1"/>
    <tableColumn id="2" xr3:uid="{00000000-0010-0000-0300-000002000000}" uniqueName="2" name="Type" queryTableFieldId="2"/>
    <tableColumn id="3" xr3:uid="{00000000-0010-0000-0300-000003000000}" uniqueName="3" name="Company" queryTableFieldId="3"/>
    <tableColumn id="4" xr3:uid="{00000000-0010-0000-0300-000004000000}" uniqueName="4" name="Logged in at" queryTableFieldId="4"/>
    <tableColumn id="5" xr3:uid="{00000000-0010-0000-0300-000005000000}" uniqueName="5" name="For how long?" queryTableFieldId="5"/>
    <tableColumn id="6" xr3:uid="{00000000-0010-0000-0300-000006000000}" uniqueName="6" name="Session" queryTableFieldId="6" dataDxfId="53"/>
    <tableColumn id="7" xr3:uid="{00000000-0010-0000-0300-000007000000}" uniqueName="7" name="GP_spid" queryTableFieldId="7" dataDxfId="52"/>
    <tableColumn id="8" xr3:uid="{00000000-0010-0000-0300-000008000000}" uniqueName="8" name="Spid_count" queryTableFieldId="8" dataDxfId="51"/>
    <tableColumn id="9" xr3:uid="{00000000-0010-0000-0300-000009000000}" uniqueName="9" name="Status" queryTableFieldId="9"/>
    <tableColumn id="10" xr3:uid="{00000000-0010-0000-0300-00000A000000}" uniqueName="10" name="Proc status" queryTableFieldId="10"/>
    <tableColumn id="11" xr3:uid="{00000000-0010-0000-0300-00000B000000}" uniqueName="11" name="Last" queryTableFieldId="11"/>
    <tableColumn id="12" xr3:uid="{00000000-0010-0000-0300-00000C000000}" uniqueName="12" name="Mins." queryTableFieldId="12" dataDxfId="50"/>
    <tableColumn id="13" xr3:uid="{00000000-0010-0000-0300-00000D000000}" uniqueName="13" name="2nd Last" queryTableFieldId="13"/>
    <tableColumn id="14" xr3:uid="{00000000-0010-0000-0300-00000E000000}" uniqueName="14" name="Mins. 2nd" queryTableFieldId="14" dataDxfId="49"/>
    <tableColumn id="15" xr3:uid="{00000000-0010-0000-0300-00000F000000}" uniqueName="15" name="B" queryTableFieldId="15"/>
    <tableColumn id="16" xr3:uid="{00000000-0010-0000-0300-000010000000}" uniqueName="16" name="R" queryTableFieldId="16"/>
    <tableColumn id="17" xr3:uid="{00000000-0010-0000-0300-000011000000}" uniqueName="17" name="T" queryTableFieldId="17"/>
  </tableColumns>
  <tableStyleInfo name="Teal strip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Batches" displayName="tblBatches" ref="A3:N4" tableType="queryTable" insertRow="1" totalsRowShown="0">
  <autoFilter ref="A3:N4" xr:uid="{75993498-2993-4936-91D8-D33A72531A82}"/>
  <tableColumns count="14">
    <tableColumn id="1" xr3:uid="{00000000-0010-0000-0400-000001000000}" uniqueName="1" name="TableName" queryTableFieldId="1"/>
    <tableColumn id="2" xr3:uid="{00000000-0010-0000-0400-000002000000}" uniqueName="2" name="BatchSource" queryTableFieldId="2"/>
    <tableColumn id="3" xr3:uid="{00000000-0010-0000-0400-000003000000}" uniqueName="3" name="Batch#" queryTableFieldId="3"/>
    <tableColumn id="4" xr3:uid="{00000000-0010-0000-0400-000004000000}" uniqueName="4" name="SERIES" queryTableFieldId="4"/>
    <tableColumn id="5" xr3:uid="{00000000-0010-0000-0400-000005000000}" uniqueName="5" name="MKDTOPST" queryTableFieldId="5"/>
    <tableColumn id="6" xr3:uid="{00000000-0010-0000-0400-000006000000}" uniqueName="6" name="NUMOFTRX" queryTableFieldId="6"/>
    <tableColumn id="7" xr3:uid="{00000000-0010-0000-0400-000007000000}" uniqueName="7" name="BACHFREQ" queryTableFieldId="7"/>
    <tableColumn id="8" xr3:uid="{00000000-0010-0000-0400-000008000000}" uniqueName="8" name="BCHCOMNT" queryTableFieldId="8"/>
    <tableColumn id="9" xr3:uid="{00000000-0010-0000-0400-000009000000}" uniqueName="9" name="BCHTOTAL" queryTableFieldId="9" dataDxfId="44" dataCellStyle="Comma"/>
    <tableColumn id="10" xr3:uid="{00000000-0010-0000-0400-00000A000000}" uniqueName="10" name="CREATDDT" queryTableFieldId="10" dataDxfId="43"/>
    <tableColumn id="11" xr3:uid="{00000000-0010-0000-0400-00000B000000}" uniqueName="11" name="BCHSTTUS" queryTableFieldId="11"/>
    <tableColumn id="12" xr3:uid="{00000000-0010-0000-0400-00000C000000}" uniqueName="12" name="BatchStatusDescription" queryTableFieldId="12"/>
    <tableColumn id="13" xr3:uid="{00000000-0010-0000-0400-00000D000000}" uniqueName="13" name="TRXSORCE" queryTableFieldId="13"/>
    <tableColumn id="14" xr3:uid="{6F7FE7E3-178B-4A3D-A635-5CA8083F9CF3}" uniqueName="14" name="USERID" queryTableFieldId="14"/>
  </tableColumns>
  <tableStyleInfo name="Spring strip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blLocksInUse" displayName="tblLocksInUse" ref="A3:D4" tableType="queryTable" insertRow="1" totalsRowShown="0">
  <autoFilter ref="A3:D4" xr:uid="{5D1E0E2B-E8AE-4BFF-8F94-A010809E0D48}"/>
  <tableColumns count="4">
    <tableColumn id="1" xr3:uid="{00000000-0010-0000-0500-000001000000}" uniqueName="1" name="UserID" queryTableFieldId="1"/>
    <tableColumn id="2" xr3:uid="{00000000-0010-0000-0500-000002000000}" uniqueName="2" name="DocNo Locked" queryTableFieldId="2"/>
    <tableColumn id="3" xr3:uid="{00000000-0010-0000-0500-000003000000}" uniqueName="3" name="LoginDate" queryTableFieldId="3" dataDxfId="42"/>
    <tableColumn id="4" xr3:uid="{00000000-0010-0000-0500-000004000000}" uniqueName="4" name="table_path_name" queryTableFieldId="4"/>
  </tableColumns>
  <tableStyleInfo name="Orange strip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LocksOrphans" displayName="tblLocksOrphans" ref="A3:D4" tableType="queryTable" insertRow="1" totalsRowShown="0">
  <autoFilter ref="A3:D4" xr:uid="{A57CB8C5-8B0C-41D7-9C96-F3203BBD1B4C}"/>
  <tableColumns count="4">
    <tableColumn id="1" xr3:uid="{00000000-0010-0000-0600-000001000000}" uniqueName="1" name="TableName" queryTableFieldId="1"/>
    <tableColumn id="2" xr3:uid="{00000000-0010-0000-0600-000002000000}" uniqueName="2" name="session_id" queryTableFieldId="2"/>
    <tableColumn id="3" xr3:uid="{00000000-0010-0000-0600-000003000000}" uniqueName="3" name="row_id" queryTableFieldId="3"/>
    <tableColumn id="4" xr3:uid="{00000000-0010-0000-0600-000004000000}" uniqueName="4" name="table_path_name" queryTableFieldId="4"/>
  </tableColumns>
  <tableStyleInfo name="Pink strip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OpenTables" displayName="tblOpenTables" ref="A3:J4" tableType="queryTable" insertRow="1" totalsRowShown="0">
  <tableColumns count="10">
    <tableColumn id="2" xr3:uid="{00000000-0010-0000-0700-000002000000}" uniqueName="2" name="WINTYPE" queryTableFieldId="2"/>
    <tableColumn id="3" xr3:uid="{00000000-0010-0000-0700-000003000000}" uniqueName="3" name="USERID" queryTableFieldId="3"/>
    <tableColumn id="4" xr3:uid="{00000000-0010-0000-0700-000004000000}" uniqueName="4" name="CMPNYNAM" queryTableFieldId="4"/>
    <tableColumn id="5" xr3:uid="{00000000-0010-0000-0700-000005000000}" uniqueName="5" name="BCHSOURC" queryTableFieldId="5"/>
    <tableColumn id="6" xr3:uid="{00000000-0010-0000-0700-000006000000}" uniqueName="6" name="BACHNUMB" queryTableFieldId="6"/>
    <tableColumn id="7" xr3:uid="{00000000-0010-0000-0700-000007000000}" uniqueName="7" name="POSTING" queryTableFieldId="7"/>
    <tableColumn id="8" xr3:uid="{00000000-0010-0000-0700-000008000000}" uniqueName="8" name="TRXSOURC" queryTableFieldId="8"/>
    <tableColumn id="1" xr3:uid="{00000000-0010-0000-0700-000001000000}" uniqueName="1" name="LinkToActivity" queryTableFieldId="10" dataDxfId="39"/>
    <tableColumn id="10" xr3:uid="{00000000-0010-0000-0700-00000A000000}" uniqueName="10" name="Description" queryTableFieldId="11" dataDxfId="38"/>
    <tableColumn id="9" xr3:uid="{E5EE464E-7049-4936-80F3-90D8C268F6A4}" uniqueName="9" name="DEX_ROW_ID" queryTableFieldId="12" dataDxfId="37"/>
  </tableColumns>
  <tableStyleInfo name="Violet strip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blSysProcesses" displayName="tblSysProcesses" ref="A3:G57" tableType="queryTable" totalsRowShown="0">
  <autoFilter ref="A3:G57" xr:uid="{38D02AEA-103E-40E7-9782-FAC91722A474}"/>
  <tableColumns count="7">
    <tableColumn id="1" xr3:uid="{00000000-0010-0000-0800-000001000000}" uniqueName="1" name="TableName" queryTableFieldId="1"/>
    <tableColumn id="3" xr3:uid="{00000000-0010-0000-0800-000003000000}" uniqueName="3" name="LastBatch" queryTableFieldId="3"/>
    <tableColumn id="5" xr3:uid="{00000000-0010-0000-0800-000005000000}" uniqueName="5" name="loginName" queryTableFieldId="5"/>
    <tableColumn id="6" xr3:uid="{00000000-0010-0000-0800-000006000000}" uniqueName="6" name="spid" queryTableFieldId="6"/>
    <tableColumn id="7" xr3:uid="{00000000-0010-0000-0800-000007000000}" uniqueName="7" name="Cmd" queryTableFieldId="7"/>
    <tableColumn id="2" xr3:uid="{00000000-0010-0000-0800-000002000000}" uniqueName="2" name="Login" queryTableFieldId="8"/>
    <tableColumn id="4" xr3:uid="{00000000-0010-0000-0800-000004000000}" uniqueName="4" name="Status" queryTableFieldId="9" dataDxfId="36"/>
  </tableColumns>
  <tableStyleInfo name="Cyan strip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9000000}" name="tblOpenResources" displayName="tblOpenResources" ref="A3:J4" tableType="queryTable" insertRow="1" totalsRowShown="0">
  <autoFilter ref="A3:J4" xr:uid="{00B013B8-C46A-4C1B-963F-4ED2AD037A4A}"/>
  <tableColumns count="10">
    <tableColumn id="2" xr3:uid="{00000000-0010-0000-0900-000002000000}" uniqueName="2" name="RULEID" queryTableFieldId="2"/>
    <tableColumn id="3" xr3:uid="{00000000-0010-0000-0900-000003000000}" uniqueName="3" name="RSRCID" queryTableFieldId="3"/>
    <tableColumn id="4" xr3:uid="{00000000-0010-0000-0900-000004000000}" uniqueName="4" name="RSRCSBID" queryTableFieldId="4"/>
    <tableColumn id="5" xr3:uid="{00000000-0010-0000-0900-000005000000}" uniqueName="5" name="CMPANYID" queryTableFieldId="5"/>
    <tableColumn id="6" xr3:uid="{00000000-0010-0000-0900-000006000000}" uniqueName="6" name="USERID" queryTableFieldId="6"/>
    <tableColumn id="7" xr3:uid="{00000000-0010-0000-0900-000007000000}" uniqueName="7" name="RSCSTATE" queryTableFieldId="7"/>
    <tableColumn id="8" xr3:uid="{00000000-0010-0000-0900-000008000000}" uniqueName="8" name="RSRDESC" queryTableFieldId="8"/>
    <tableColumn id="9" xr3:uid="{00000000-0010-0000-0900-000009000000}" uniqueName="9" name="USECT" queryTableFieldId="9"/>
    <tableColumn id="1" xr3:uid="{00000000-0010-0000-0900-000001000000}" uniqueName="1" name="LinkToActivity" queryTableFieldId="11" dataDxfId="33"/>
    <tableColumn id="10" xr3:uid="{6795AA21-3B72-4442-9BC5-6F76BD2BBF9A}" uniqueName="10" name="DEX_ROW_ID" queryTableFieldId="12" dataDxfId="32"/>
  </tableColumns>
  <tableStyleInfo name="Green strip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tblSessions" displayName="tblSessions" ref="A3:H4" tableType="queryTable" insertRow="1" totalsRowShown="0">
  <autoFilter ref="A3:H4" xr:uid="{124A3617-3667-4E72-BD89-59C426CCD892}"/>
  <tableColumns count="8">
    <tableColumn id="1" xr3:uid="{00000000-0010-0000-0A00-000001000000}" uniqueName="1" name="TableName" queryTableFieldId="1"/>
    <tableColumn id="2" xr3:uid="{00000000-0010-0000-0A00-000002000000}" uniqueName="2" name="session_id" queryTableFieldId="2"/>
    <tableColumn id="3" xr3:uid="{00000000-0010-0000-0A00-000003000000}" uniqueName="3" name="sqlsvr_spid" queryTableFieldId="3"/>
    <tableColumn id="4" xr3:uid="{00000000-0010-0000-0A00-000004000000}" uniqueName="4" name="LinkToActivity" queryTableFieldId="4" dataDxfId="25"/>
    <tableColumn id="5" xr3:uid="{00000000-0010-0000-0A00-000005000000}" uniqueName="5" name="USERID" queryTableFieldId="5" dataDxfId="24"/>
    <tableColumn id="6" xr3:uid="{00000000-0010-0000-0A00-000006000000}" uniqueName="6" name="CMPNYNAM" queryTableFieldId="6" dataDxfId="23"/>
    <tableColumn id="7" xr3:uid="{00000000-0010-0000-0A00-000007000000}" uniqueName="7" name="SQL status" queryTableFieldId="7" dataDxfId="22"/>
    <tableColumn id="8" xr3:uid="{00000000-0010-0000-0A00-000008000000}" uniqueName="8" name="Spid_count" queryTableFieldId="8" dataDxfId="21"/>
  </tableColumns>
  <tableStyleInfo name="Blue strip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blTracking" displayName="tblTracking" ref="A3:K47" tableType="queryTable" totalsRowShown="0">
  <autoFilter ref="A3:K47" xr:uid="{AC1CC095-E20E-4545-8AD1-FCE5E9B09C36}"/>
  <sortState xmlns:xlrd2="http://schemas.microsoft.com/office/spreadsheetml/2017/richdata2" ref="A4:K47">
    <sortCondition descending="1" ref="E3:E47"/>
  </sortState>
  <tableColumns count="11">
    <tableColumn id="1" xr3:uid="{00000000-0010-0000-0B00-000001000000}" uniqueName="1" name="Company" queryTableFieldId="1"/>
    <tableColumn id="2" xr3:uid="{00000000-0010-0000-0B00-000002000000}" uniqueName="2" name="UserID" queryTableFieldId="2"/>
    <tableColumn id="3" xr3:uid="{00000000-0010-0000-0B00-000003000000}" uniqueName="3" name="INQYTYPE" queryTableFieldId="3"/>
    <tableColumn id="4" xr3:uid="{00000000-0010-0000-0B00-000004000000}" uniqueName="4" name="DATE1" queryTableFieldId="4" dataDxfId="17"/>
    <tableColumn id="5" xr3:uid="{00000000-0010-0000-0B00-000005000000}" uniqueName="5" name="TIME1" queryTableFieldId="5" dataDxfId="16"/>
    <tableColumn id="6" xr3:uid="{00000000-0010-0000-0B00-000006000000}" uniqueName="6" name="Description" queryTableFieldId="6"/>
    <tableColumn id="7" xr3:uid="{B7B6B25A-B12D-4C6C-BE29-6994ABD9C3C1}" uniqueName="7" name="FiveMinPeriod" queryTableFieldId="7" dataDxfId="15"/>
    <tableColumn id="8" xr3:uid="{27E279F3-EA49-4731-A91B-AE497A87B89A}" uniqueName="8" name="Code" queryTableFieldId="8"/>
    <tableColumn id="9" xr3:uid="{39DF7501-A897-4345-A12B-9174B84B41BD}" uniqueName="9" name="FiveMinSegment" queryTableFieldId="9"/>
    <tableColumn id="10" xr3:uid="{3F2A872F-D135-4B8D-93CD-050EB356BA41}" uniqueName="10" name="origTIME1" queryTableFieldId="10" dataDxfId="14"/>
    <tableColumn id="11" xr3:uid="{3B689372-4322-4110-BEA6-424647C055A1}" uniqueName="11" name="minTime" queryTableFieldId="1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4B3BD04-4712-44EE-8674-40CCB90D6B66}" name="tbl5day" displayName="tbl5day" ref="A3:D539" tableType="queryTable" totalsRowShown="0">
  <autoFilter ref="A3:D539" xr:uid="{80BA0D08-8454-427F-B39A-93FE5E65B7E8}"/>
  <tableColumns count="4">
    <tableColumn id="1" xr3:uid="{7B2192D2-9375-4425-8A46-BE70229C0D6D}" uniqueName="1" name="MONITORDATE" queryTableFieldId="2" dataDxfId="2"/>
    <tableColumn id="2" xr3:uid="{E6374703-567D-4EEE-B735-A10CDA3434CF}" uniqueName="2" name="ActivityDate" queryTableFieldId="3" dataDxfId="1"/>
    <tableColumn id="3" xr3:uid="{390B28D2-9A5C-47F1-94DD-E7905AC72C19}" uniqueName="3" name="ActivityHour" queryTableFieldId="4"/>
    <tableColumn id="4" xr3:uid="{377A34C2-7011-4CC2-B3E2-8A22BF4F1C40}" uniqueName="4" name="ACTIVITY" queryTableFieldId="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0FD9C15-56FB-4E88-8EFA-FB801C823BE1}" name="tbl12hour" displayName="tbl12hour" ref="A3:C13" tableType="queryTable" totalsRowShown="0">
  <autoFilter ref="A3:C13" xr:uid="{13FC34FC-C47F-4DE5-85A8-3D5B0C2FA332}"/>
  <tableColumns count="3">
    <tableColumn id="1" xr3:uid="{FF43AFD7-BD58-4FEC-9DAE-441807BCD93A}" uniqueName="1" name="Module" queryTableFieldId="2"/>
    <tableColumn id="2" xr3:uid="{4603E641-AB29-4384-8C05-F0E78B860882}" uniqueName="2" name="MONITORDATE" queryTableFieldId="3" dataDxfId="0"/>
    <tableColumn id="3" xr3:uid="{1A4BF58A-0317-4E6B-987C-C581E4DD0DD1}" uniqueName="3" name="ACTIVITY"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8.xml"/><Relationship Id="rId4" Type="http://schemas.openxmlformats.org/officeDocument/2006/relationships/image" Target="../media/image3.emf"/></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image" Target="../media/image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1.xml"/><Relationship Id="rId4" Type="http://schemas.openxmlformats.org/officeDocument/2006/relationships/image" Target="../media/image5.emf"/></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0.emf"/><Relationship Id="rId3" Type="http://schemas.openxmlformats.org/officeDocument/2006/relationships/vmlDrawing" Target="../drawings/vmlDrawing6.vml"/><Relationship Id="rId7" Type="http://schemas.openxmlformats.org/officeDocument/2006/relationships/image" Target="../media/image7.emf"/><Relationship Id="rId12" Type="http://schemas.openxmlformats.org/officeDocument/2006/relationships/control" Target="../activeX/activeX10.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7.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99FF"/>
  </sheetPr>
  <dimension ref="A1:M32"/>
  <sheetViews>
    <sheetView showGridLines="0" zoomScaleNormal="100" workbookViewId="0"/>
  </sheetViews>
  <sheetFormatPr defaultRowHeight="14.4" x14ac:dyDescent="0.3"/>
  <cols>
    <col min="1" max="1" width="20.33203125" bestFit="1" customWidth="1"/>
    <col min="2" max="2" width="8.5546875" bestFit="1" customWidth="1"/>
    <col min="3" max="3" width="2.109375" customWidth="1"/>
    <col min="4" max="4" width="13.109375" bestFit="1" customWidth="1"/>
    <col min="5" max="5" width="7.5546875" bestFit="1" customWidth="1"/>
    <col min="6" max="6" width="8.6640625" bestFit="1" customWidth="1"/>
    <col min="7" max="7" width="12.88671875" bestFit="1" customWidth="1"/>
    <col min="8" max="8" width="11.5546875" bestFit="1" customWidth="1"/>
    <col min="9" max="9" width="13.88671875" bestFit="1" customWidth="1"/>
    <col min="10" max="10" width="12.88671875" bestFit="1" customWidth="1"/>
    <col min="11" max="11" width="3.109375" customWidth="1"/>
    <col min="12" max="12" width="35" bestFit="1" customWidth="1"/>
    <col min="13" max="13" width="12" bestFit="1" customWidth="1"/>
    <col min="14" max="14" width="2.6640625" customWidth="1"/>
  </cols>
  <sheetData>
    <row r="1" spans="1:13" ht="30" customHeight="1" x14ac:dyDescent="0.6">
      <c r="A1" s="4" t="str">
        <f>IF(SUM(tblQuickStats[Count])-SUMIF(tblQuickStats[Stat],"Processes",tblQuickStats[Count])&gt;0, IF(SUMIF(tblQuickStats[Stat],"Sessions/Orphans",tblQuickStats[Count])&lt;&gt;INT(SUMIF(tblQuickStats[Stat],"Sessions/Orphans",tblQuickStats[Count])),"!","*")," ")</f>
        <v xml:space="preserve"> </v>
      </c>
      <c r="B1" s="4" t="str">
        <f>IF(COUNTIF(tblDashboardUsers[Status],"No SQL session")&gt;0,"!",IF(AND(COUNTIF(tblDashboardUsers[Proc status],"No match")&gt;0,COUNTIF(tblDashboardUsers[Status],"No SQL session")=0),"?"," "))</f>
        <v xml:space="preserve"> </v>
      </c>
      <c r="D1" s="71" t="s">
        <v>23</v>
      </c>
      <c r="E1" s="71"/>
      <c r="F1" s="18"/>
      <c r="G1" s="18"/>
      <c r="H1" s="18"/>
      <c r="I1" s="73" t="str">
        <f>IF(Connections!RefreshRate=0,"Manual refresh only!","Refreshes every " &amp; TEXT(Connections!RefreshRate, "0") &amp; " minute(s)")</f>
        <v>Refreshes every 5 minute(s)</v>
      </c>
      <c r="J1" s="73"/>
      <c r="L1" s="70" t="s">
        <v>5</v>
      </c>
      <c r="M1" s="70"/>
    </row>
    <row r="2" spans="1:13" ht="15" customHeight="1" x14ac:dyDescent="0.3">
      <c r="A2" s="7" t="s">
        <v>9</v>
      </c>
      <c r="B2" s="7" t="s">
        <v>19</v>
      </c>
      <c r="F2" s="3"/>
      <c r="M2">
        <f>SUM(tblDashboardSysprocesses[Processes])</f>
        <v>54</v>
      </c>
    </row>
    <row r="3" spans="1:13" ht="17.399999999999999" x14ac:dyDescent="0.3">
      <c r="A3" s="70" t="s">
        <v>4</v>
      </c>
      <c r="B3" s="70"/>
      <c r="D3" t="s">
        <v>74</v>
      </c>
      <c r="E3" t="s">
        <v>79</v>
      </c>
      <c r="F3" t="s">
        <v>80</v>
      </c>
      <c r="G3" t="s">
        <v>81</v>
      </c>
      <c r="H3" t="s">
        <v>62</v>
      </c>
      <c r="I3" t="s">
        <v>82</v>
      </c>
      <c r="L3" s="5" t="s">
        <v>74</v>
      </c>
      <c r="M3" s="5" t="s">
        <v>13</v>
      </c>
    </row>
    <row r="4" spans="1:13" ht="18" x14ac:dyDescent="0.35">
      <c r="A4" s="72" t="str">
        <f ca="1">"Refreshed: " &amp; TEXT(NOW(), "M/D/YYYY H:MM AM/PM")</f>
        <v>Refreshed: 6/29/2026 2:09 PM</v>
      </c>
      <c r="B4" s="72"/>
      <c r="D4" s="1"/>
      <c r="L4" t="s">
        <v>164</v>
      </c>
      <c r="M4">
        <v>3</v>
      </c>
    </row>
    <row r="5" spans="1:13" x14ac:dyDescent="0.3">
      <c r="A5" t="s">
        <v>76</v>
      </c>
      <c r="B5" t="s">
        <v>14</v>
      </c>
      <c r="L5" t="s">
        <v>165</v>
      </c>
      <c r="M5">
        <v>1</v>
      </c>
    </row>
    <row r="6" spans="1:13" x14ac:dyDescent="0.3">
      <c r="A6" t="s">
        <v>15</v>
      </c>
      <c r="B6" s="11">
        <v>0</v>
      </c>
      <c r="L6" t="s">
        <v>75</v>
      </c>
      <c r="M6">
        <v>43</v>
      </c>
    </row>
    <row r="7" spans="1:13" x14ac:dyDescent="0.3">
      <c r="A7" t="s">
        <v>77</v>
      </c>
      <c r="B7" s="11">
        <v>0</v>
      </c>
      <c r="L7" t="s">
        <v>166</v>
      </c>
      <c r="M7">
        <v>7</v>
      </c>
    </row>
    <row r="8" spans="1:13" x14ac:dyDescent="0.3">
      <c r="A8" t="s">
        <v>16</v>
      </c>
      <c r="B8" s="11">
        <v>0</v>
      </c>
    </row>
    <row r="9" spans="1:13" x14ac:dyDescent="0.3">
      <c r="A9" t="s">
        <v>13</v>
      </c>
      <c r="B9" s="11">
        <v>54</v>
      </c>
    </row>
    <row r="10" spans="1:13" x14ac:dyDescent="0.3">
      <c r="A10" t="s">
        <v>17</v>
      </c>
      <c r="B10" s="11">
        <v>0</v>
      </c>
    </row>
    <row r="11" spans="1:13" x14ac:dyDescent="0.3">
      <c r="A11" t="s">
        <v>78</v>
      </c>
      <c r="B11" s="11"/>
    </row>
    <row r="13" spans="1:13" x14ac:dyDescent="0.3">
      <c r="A13" s="12" t="s">
        <v>10</v>
      </c>
    </row>
    <row r="14" spans="1:13" x14ac:dyDescent="0.3">
      <c r="A14" s="69" t="s">
        <v>11</v>
      </c>
      <c r="B14" s="69"/>
    </row>
    <row r="15" spans="1:13" x14ac:dyDescent="0.3">
      <c r="A15" s="69" t="s">
        <v>12</v>
      </c>
      <c r="B15" s="69"/>
    </row>
    <row r="16" spans="1:13" ht="15" thickBot="1" x14ac:dyDescent="0.35">
      <c r="A16" s="31"/>
    </row>
    <row r="17" spans="1:2" ht="16.2" thickBot="1" x14ac:dyDescent="0.35">
      <c r="A17" s="48" t="s">
        <v>51</v>
      </c>
    </row>
    <row r="18" spans="1:2" x14ac:dyDescent="0.3">
      <c r="A18" s="47" t="s">
        <v>40</v>
      </c>
    </row>
    <row r="19" spans="1:2" x14ac:dyDescent="0.3">
      <c r="A19" s="46" t="s">
        <v>15</v>
      </c>
    </row>
    <row r="20" spans="1:2" x14ac:dyDescent="0.3">
      <c r="A20" s="46" t="s">
        <v>42</v>
      </c>
    </row>
    <row r="21" spans="1:2" x14ac:dyDescent="0.3">
      <c r="A21" s="46" t="s">
        <v>43</v>
      </c>
    </row>
    <row r="22" spans="1:2" x14ac:dyDescent="0.3">
      <c r="A22" s="46" t="s">
        <v>16</v>
      </c>
    </row>
    <row r="23" spans="1:2" x14ac:dyDescent="0.3">
      <c r="A23" s="46" t="s">
        <v>13</v>
      </c>
    </row>
    <row r="24" spans="1:2" x14ac:dyDescent="0.3">
      <c r="A24" s="46" t="s">
        <v>17</v>
      </c>
      <c r="B24" s="44"/>
    </row>
    <row r="25" spans="1:2" x14ac:dyDescent="0.3">
      <c r="A25" s="46" t="s">
        <v>44</v>
      </c>
      <c r="B25" s="45"/>
    </row>
    <row r="26" spans="1:2" x14ac:dyDescent="0.3">
      <c r="A26" s="46" t="s">
        <v>45</v>
      </c>
      <c r="B26" s="43"/>
    </row>
    <row r="27" spans="1:2" x14ac:dyDescent="0.3">
      <c r="A27" s="46" t="s">
        <v>159</v>
      </c>
    </row>
    <row r="28" spans="1:2" x14ac:dyDescent="0.3">
      <c r="A28" s="46" t="s">
        <v>46</v>
      </c>
    </row>
    <row r="29" spans="1:2" x14ac:dyDescent="0.3">
      <c r="A29" s="46" t="s">
        <v>47</v>
      </c>
    </row>
    <row r="30" spans="1:2" x14ac:dyDescent="0.3">
      <c r="A30" s="46" t="s">
        <v>49</v>
      </c>
    </row>
    <row r="31" spans="1:2" x14ac:dyDescent="0.3">
      <c r="A31" s="46" t="s">
        <v>50</v>
      </c>
    </row>
    <row r="32" spans="1:2" x14ac:dyDescent="0.3">
      <c r="A32" s="46" t="s">
        <v>48</v>
      </c>
    </row>
  </sheetData>
  <mergeCells count="7">
    <mergeCell ref="A15:B15"/>
    <mergeCell ref="A3:B3"/>
    <mergeCell ref="L1:M1"/>
    <mergeCell ref="D1:E1"/>
    <mergeCell ref="A4:B4"/>
    <mergeCell ref="A14:B14"/>
    <mergeCell ref="I1:J1"/>
  </mergeCells>
  <conditionalFormatting sqref="F2">
    <cfRule type="cellIs" dxfId="72" priority="21" operator="equal">
      <formula>" "</formula>
    </cfRule>
    <cfRule type="cellIs" dxfId="71" priority="22" operator="equal">
      <formula>"!"</formula>
    </cfRule>
  </conditionalFormatting>
  <conditionalFormatting sqref="A1">
    <cfRule type="cellIs" dxfId="70" priority="16" operator="equal">
      <formula>"*"</formula>
    </cfRule>
    <cfRule type="cellIs" dxfId="69" priority="19" operator="equal">
      <formula>" "</formula>
    </cfRule>
    <cfRule type="cellIs" dxfId="68" priority="20" operator="equal">
      <formula>"!"</formula>
    </cfRule>
  </conditionalFormatting>
  <conditionalFormatting sqref="B1">
    <cfRule type="cellIs" dxfId="67" priority="8" operator="equal">
      <formula>"?"</formula>
    </cfRule>
    <cfRule type="cellIs" dxfId="66" priority="17" operator="equal">
      <formula>" "</formula>
    </cfRule>
    <cfRule type="cellIs" dxfId="65" priority="18" operator="equal">
      <formula>"!"</formula>
    </cfRule>
  </conditionalFormatting>
  <conditionalFormatting sqref="B6:B11">
    <cfRule type="expression" dxfId="64" priority="11">
      <formula>B6&lt;&gt;INT(B6)</formula>
    </cfRule>
  </conditionalFormatting>
  <conditionalFormatting sqref="F3:F4">
    <cfRule type="cellIs" dxfId="63" priority="10" operator="equal">
      <formula>"No SQL session"</formula>
    </cfRule>
  </conditionalFormatting>
  <conditionalFormatting sqref="G3:G4">
    <cfRule type="cellIs" dxfId="62" priority="9" operator="equal">
      <formula>"No match"</formula>
    </cfRule>
  </conditionalFormatting>
  <hyperlinks>
    <hyperlink ref="A18" location="Users!A1" display="Users" xr:uid="{DDFA5753-BE16-4939-A585-BCF275FA81AB}"/>
    <hyperlink ref="A19" location="'Active Batches'!A1" display="Active Batches" xr:uid="{C3E1C3DD-96AB-4514-BFBA-AED2A2517209}"/>
    <hyperlink ref="A20" location="'Locks-In Use'!A1" display="Locks-in Use" xr:uid="{0005B8B7-B47B-415F-B011-21AEB77F9BF7}"/>
    <hyperlink ref="A21" location="'Locks-Orphans'!A1" display="Locks-Orphans" xr:uid="{0F270F44-B7D6-4F48-96B4-C810A0AC1210}"/>
    <hyperlink ref="A22" location="'Open Batches'!A1" display="Open Batches" xr:uid="{4198A99B-67E4-4158-99B1-0D7CAA887942}"/>
    <hyperlink ref="A23" location="Processes!A1" display="Processes" xr:uid="{B775EC19-D9D0-461B-8132-922819593D74}"/>
    <hyperlink ref="A24" location="'Resources in Use'!A1" display="Resources in Use" xr:uid="{DA095337-E3CE-4575-9E7A-84EEBEF33029}"/>
    <hyperlink ref="A25" location="Sessions!A1" display="Sessions" xr:uid="{4ADE34E2-4DB6-4940-AC15-CE585DC15952}"/>
    <hyperlink ref="A26" location="Tracking!A1" display="Tracking" xr:uid="{9B226BFA-296B-42A4-A96E-3E34E22FD953}"/>
    <hyperlink ref="A27" location="'Tracking Pivot'!A1" display="Tracking Pivot" xr:uid="{271C9EB0-7080-4F24-8483-CF2235C1A242}"/>
    <hyperlink ref="A28" location="Connections!A1" display="Connections" xr:uid="{18269193-87BD-40BA-A33D-57D7AB92B72C}"/>
    <hyperlink ref="A29" location="'14-day'!A1" display="14-Day" xr:uid="{15B201DF-3518-4D2F-816E-198339F07C58}"/>
    <hyperlink ref="A30" location="'14-day Pivot'!A1" display="14-Pivot" xr:uid="{97EEAE9D-DFB2-4EAE-A3F2-FCFA7C2F7CC6}"/>
    <hyperlink ref="A31" location="'14-day Pivot Chart'!A1" display="14-Chart" xr:uid="{1AB7111B-6784-47A9-87D1-DE4BAB30960D}"/>
    <hyperlink ref="A32" location="'12-hr'!A1" display="12-hr" xr:uid="{4FC0DB4C-1BA0-4DDA-911C-7A5F4D221B03}"/>
  </hyperlink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5" r:id="rId4" name="cmdRemoveSQLOrphans">
          <controlPr defaultSize="0" autoLine="0" r:id="rId5">
            <anchor moveWithCells="1">
              <from>
                <xdr:col>6</xdr:col>
                <xdr:colOff>0</xdr:colOff>
                <xdr:row>0</xdr:row>
                <xdr:rowOff>60960</xdr:rowOff>
              </from>
              <to>
                <xdr:col>7</xdr:col>
                <xdr:colOff>723900</xdr:colOff>
                <xdr:row>1</xdr:row>
                <xdr:rowOff>0</xdr:rowOff>
              </to>
            </anchor>
          </controlPr>
        </control>
      </mc:Choice>
      <mc:Fallback>
        <control shapeId="1025" r:id="rId4" name="cmdRemoveSQLOrphans"/>
      </mc:Fallback>
    </mc:AlternateContent>
  </controls>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99"/>
  </sheetPr>
  <dimension ref="A1:R4"/>
  <sheetViews>
    <sheetView showGridLines="0" zoomScaleNormal="100" workbookViewId="0">
      <selection activeCell="H1" sqref="H1"/>
    </sheetView>
  </sheetViews>
  <sheetFormatPr defaultRowHeight="14.4" x14ac:dyDescent="0.3"/>
  <cols>
    <col min="1" max="1" width="13.109375" bestFit="1" customWidth="1"/>
    <col min="2" max="2" width="7.5546875" bestFit="1" customWidth="1"/>
    <col min="3" max="3" width="11.5546875" bestFit="1" customWidth="1"/>
    <col min="4" max="4" width="13.88671875" bestFit="1" customWidth="1"/>
    <col min="5" max="5" width="15.88671875" bestFit="1" customWidth="1"/>
    <col min="6" max="6" width="10" bestFit="1" customWidth="1"/>
    <col min="7" max="7" width="10.5546875" bestFit="1" customWidth="1"/>
    <col min="8" max="8" width="13.109375" bestFit="1" customWidth="1"/>
    <col min="9" max="9" width="8.6640625" bestFit="1" customWidth="1"/>
    <col min="10" max="10" width="12.88671875" bestFit="1" customWidth="1"/>
    <col min="11" max="11" width="6.6640625" bestFit="1" customWidth="1"/>
    <col min="12" max="12" width="8.33203125" bestFit="1" customWidth="1"/>
    <col min="13" max="13" width="10.44140625" bestFit="1" customWidth="1"/>
    <col min="14" max="14" width="12" bestFit="1" customWidth="1"/>
    <col min="15" max="16" width="4.44140625" bestFit="1" customWidth="1"/>
    <col min="17" max="17" width="4.33203125" bestFit="1" customWidth="1"/>
    <col min="18" max="18" width="12.88671875" bestFit="1" customWidth="1"/>
  </cols>
  <sheetData>
    <row r="1" spans="1:18" ht="17.399999999999999" x14ac:dyDescent="0.3">
      <c r="A1" s="74" t="s">
        <v>0</v>
      </c>
      <c r="B1" s="74"/>
      <c r="C1" s="74"/>
      <c r="D1" s="74"/>
      <c r="E1" s="74"/>
      <c r="F1" s="17"/>
      <c r="G1" s="17"/>
      <c r="H1" s="32" t="s">
        <v>41</v>
      </c>
      <c r="I1" s="17"/>
      <c r="J1" s="17"/>
      <c r="K1" s="17"/>
      <c r="L1" s="17"/>
      <c r="M1" s="17"/>
      <c r="N1" s="17"/>
      <c r="O1" s="17"/>
      <c r="P1" s="17"/>
      <c r="Q1" s="17"/>
      <c r="R1" s="17"/>
    </row>
    <row r="3" spans="1:18" x14ac:dyDescent="0.3">
      <c r="A3" t="s">
        <v>74</v>
      </c>
      <c r="B3" t="s">
        <v>79</v>
      </c>
      <c r="C3" t="s">
        <v>62</v>
      </c>
      <c r="D3" t="s">
        <v>82</v>
      </c>
      <c r="E3" t="s">
        <v>84</v>
      </c>
      <c r="F3" t="s">
        <v>85</v>
      </c>
      <c r="G3" t="s">
        <v>86</v>
      </c>
      <c r="H3" t="s">
        <v>87</v>
      </c>
      <c r="I3" t="s">
        <v>80</v>
      </c>
      <c r="J3" t="s">
        <v>81</v>
      </c>
      <c r="K3" t="s">
        <v>88</v>
      </c>
      <c r="L3" t="s">
        <v>89</v>
      </c>
      <c r="M3" t="s">
        <v>90</v>
      </c>
      <c r="N3" t="s">
        <v>91</v>
      </c>
      <c r="O3" t="s">
        <v>92</v>
      </c>
      <c r="P3" t="s">
        <v>93</v>
      </c>
      <c r="Q3" t="s">
        <v>94</v>
      </c>
    </row>
    <row r="4" spans="1:18" x14ac:dyDescent="0.3">
      <c r="F4" s="3"/>
      <c r="G4" s="3"/>
      <c r="H4" s="3"/>
      <c r="L4" s="3"/>
      <c r="N4" s="3"/>
    </row>
  </sheetData>
  <mergeCells count="1">
    <mergeCell ref="A1:E1"/>
  </mergeCells>
  <conditionalFormatting sqref="I3:I4">
    <cfRule type="cellIs" dxfId="59" priority="3" operator="equal">
      <formula>"No SQL session"</formula>
    </cfRule>
    <cfRule type="cellIs" dxfId="58" priority="6" operator="equal">
      <formula>"No match"</formula>
    </cfRule>
  </conditionalFormatting>
  <conditionalFormatting sqref="J3:J4">
    <cfRule type="cellIs" dxfId="57" priority="4" operator="equal">
      <formula>"No match"</formula>
    </cfRule>
    <cfRule type="cellIs" dxfId="56" priority="5" operator="equal">
      <formula>"No SQL session"</formula>
    </cfRule>
  </conditionalFormatting>
  <conditionalFormatting sqref="G3:G4">
    <cfRule type="cellIs" dxfId="55" priority="2" operator="lessThan">
      <formula>1</formula>
    </cfRule>
  </conditionalFormatting>
  <conditionalFormatting sqref="H3:H4">
    <cfRule type="cellIs" dxfId="54" priority="1" operator="equal">
      <formula>0</formula>
    </cfRule>
  </conditionalFormatting>
  <hyperlinks>
    <hyperlink ref="H1" location="Dashboard!A1" display="Dashboard" xr:uid="{A095A3ED-F95D-4E3C-A5A1-A19D015EB0B4}"/>
  </hyperlink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99FF00"/>
  </sheetPr>
  <dimension ref="A1:O4"/>
  <sheetViews>
    <sheetView showGridLines="0" zoomScaleNormal="100" workbookViewId="0">
      <selection sqref="A1:H1"/>
    </sheetView>
  </sheetViews>
  <sheetFormatPr defaultRowHeight="14.4" x14ac:dyDescent="0.3"/>
  <cols>
    <col min="1" max="1" width="13.44140625" bestFit="1" customWidth="1"/>
    <col min="2" max="2" width="14.109375" bestFit="1" customWidth="1"/>
    <col min="3" max="3" width="9.109375" bestFit="1" customWidth="1"/>
    <col min="4" max="4" width="9" bestFit="1" customWidth="1"/>
    <col min="5" max="5" width="13.109375" bestFit="1" customWidth="1"/>
    <col min="6" max="6" width="13.6640625" bestFit="1" customWidth="1"/>
    <col min="7" max="7" width="12.6640625" bestFit="1" customWidth="1"/>
    <col min="8" max="8" width="13.6640625" bestFit="1" customWidth="1"/>
    <col min="9" max="10" width="12.44140625" bestFit="1" customWidth="1"/>
    <col min="11" max="11" width="12.33203125" bestFit="1" customWidth="1"/>
    <col min="12" max="12" width="24.109375" bestFit="1" customWidth="1"/>
    <col min="13" max="13" width="12.33203125" bestFit="1" customWidth="1"/>
    <col min="14" max="14" width="9.6640625" bestFit="1" customWidth="1"/>
    <col min="15" max="15" width="15.88671875" bestFit="1" customWidth="1"/>
  </cols>
  <sheetData>
    <row r="1" spans="1:15" ht="17.399999999999999" x14ac:dyDescent="0.3">
      <c r="A1" s="75" t="s">
        <v>1</v>
      </c>
      <c r="B1" s="75"/>
      <c r="C1" s="75"/>
      <c r="D1" s="75"/>
      <c r="E1" s="75"/>
      <c r="F1" s="75"/>
      <c r="G1" s="75"/>
      <c r="H1" s="75"/>
      <c r="I1" s="33" t="s">
        <v>41</v>
      </c>
      <c r="J1" s="16"/>
      <c r="K1" s="16"/>
      <c r="L1" s="16"/>
      <c r="M1" s="16"/>
      <c r="N1" s="16"/>
      <c r="O1" s="16"/>
    </row>
    <row r="3" spans="1:15" x14ac:dyDescent="0.3">
      <c r="A3" t="s">
        <v>95</v>
      </c>
      <c r="B3" t="s">
        <v>96</v>
      </c>
      <c r="C3" t="s">
        <v>98</v>
      </c>
      <c r="D3" t="s">
        <v>99</v>
      </c>
      <c r="E3" t="s">
        <v>100</v>
      </c>
      <c r="F3" t="s">
        <v>101</v>
      </c>
      <c r="G3" t="s">
        <v>102</v>
      </c>
      <c r="H3" t="s">
        <v>103</v>
      </c>
      <c r="I3" t="s">
        <v>104</v>
      </c>
      <c r="J3" t="s">
        <v>105</v>
      </c>
      <c r="K3" t="s">
        <v>106</v>
      </c>
      <c r="L3" t="s">
        <v>107</v>
      </c>
      <c r="M3" t="s">
        <v>97</v>
      </c>
      <c r="N3" t="s">
        <v>108</v>
      </c>
    </row>
    <row r="4" spans="1:15" x14ac:dyDescent="0.3">
      <c r="I4" s="9"/>
      <c r="J4" s="8"/>
    </row>
  </sheetData>
  <mergeCells count="1">
    <mergeCell ref="A1:H1"/>
  </mergeCells>
  <conditionalFormatting sqref="K3:K4">
    <cfRule type="cellIs" dxfId="48" priority="1" operator="greaterThan">
      <formula>99</formula>
    </cfRule>
    <cfRule type="cellIs" dxfId="47" priority="2" operator="between">
      <formula>7</formula>
      <formula>99</formula>
    </cfRule>
    <cfRule type="cellIs" dxfId="46" priority="3" operator="between">
      <formula>3</formula>
      <formula>6</formula>
    </cfRule>
    <cfRule type="cellIs" dxfId="45" priority="4" operator="between">
      <formula>0</formula>
      <formula>2</formula>
    </cfRule>
  </conditionalFormatting>
  <hyperlinks>
    <hyperlink ref="I1" location="Dashboard!A1" display="Dashboard" xr:uid="{DD3A9436-0C93-4DD9-947F-657A8DD8C4B1}"/>
  </hyperlinks>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9900"/>
  </sheetPr>
  <dimension ref="A1:D4"/>
  <sheetViews>
    <sheetView workbookViewId="0">
      <selection activeCell="D1" sqref="D1"/>
    </sheetView>
  </sheetViews>
  <sheetFormatPr defaultRowHeight="14.4" x14ac:dyDescent="0.3"/>
  <cols>
    <col min="1" max="1" width="9.33203125" bestFit="1" customWidth="1"/>
    <col min="2" max="2" width="15.88671875" bestFit="1" customWidth="1"/>
    <col min="3" max="3" width="12.109375" bestFit="1" customWidth="1"/>
    <col min="4" max="4" width="19" bestFit="1" customWidth="1"/>
  </cols>
  <sheetData>
    <row r="1" spans="1:4" ht="17.399999999999999" x14ac:dyDescent="0.3">
      <c r="A1" s="76" t="s">
        <v>6</v>
      </c>
      <c r="B1" s="76"/>
      <c r="C1" s="76"/>
      <c r="D1" s="34" t="s">
        <v>41</v>
      </c>
    </row>
    <row r="3" spans="1:4" x14ac:dyDescent="0.3">
      <c r="A3" t="s">
        <v>63</v>
      </c>
      <c r="B3" t="s">
        <v>109</v>
      </c>
      <c r="C3" t="s">
        <v>110</v>
      </c>
      <c r="D3" t="s">
        <v>111</v>
      </c>
    </row>
    <row r="4" spans="1:4" x14ac:dyDescent="0.3">
      <c r="C4" s="2"/>
    </row>
  </sheetData>
  <mergeCells count="1">
    <mergeCell ref="A1:C1"/>
  </mergeCells>
  <hyperlinks>
    <hyperlink ref="D1" location="Dashboard!A1" display="Dashboard" xr:uid="{98C40868-449B-4682-BB87-1C32781B8F02}"/>
  </hyperlink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66CC"/>
  </sheetPr>
  <dimension ref="A1:I3"/>
  <sheetViews>
    <sheetView showGridLines="0" workbookViewId="0">
      <selection activeCell="D4" sqref="D4"/>
    </sheetView>
  </sheetViews>
  <sheetFormatPr defaultRowHeight="14.4" x14ac:dyDescent="0.3"/>
  <cols>
    <col min="1" max="1" width="13.44140625" bestFit="1" customWidth="1"/>
    <col min="2" max="2" width="12.5546875" bestFit="1" customWidth="1"/>
    <col min="3" max="3" width="9.44140625" bestFit="1" customWidth="1"/>
    <col min="4" max="4" width="19" bestFit="1" customWidth="1"/>
    <col min="6" max="6" width="13.44140625" customWidth="1"/>
    <col min="7" max="7" width="12.5546875" customWidth="1"/>
    <col min="8" max="8" width="9.44140625" customWidth="1"/>
    <col min="9" max="9" width="19" customWidth="1"/>
  </cols>
  <sheetData>
    <row r="1" spans="1:9" ht="17.399999999999999" x14ac:dyDescent="0.3">
      <c r="A1" s="77" t="s">
        <v>2</v>
      </c>
      <c r="B1" s="77"/>
      <c r="C1" s="77"/>
      <c r="D1" s="77"/>
      <c r="E1" s="6"/>
      <c r="F1" s="6"/>
      <c r="G1" s="6"/>
      <c r="H1" s="6"/>
      <c r="I1" s="35" t="s">
        <v>41</v>
      </c>
    </row>
    <row r="3" spans="1:9" x14ac:dyDescent="0.3">
      <c r="A3" t="s">
        <v>95</v>
      </c>
      <c r="B3" t="s">
        <v>112</v>
      </c>
      <c r="C3" t="s">
        <v>113</v>
      </c>
      <c r="D3" t="s">
        <v>111</v>
      </c>
    </row>
  </sheetData>
  <mergeCells count="1">
    <mergeCell ref="A1:D1"/>
  </mergeCells>
  <hyperlinks>
    <hyperlink ref="I1" location="Dashboard!A1" display="Dashboard" xr:uid="{558D77F8-EBCB-4E4F-9843-0BC9EF21899F}"/>
  </hyperlink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241" r:id="rId4" name="cmdRemoveLocks">
          <controlPr defaultSize="0" autoLine="0" r:id="rId5">
            <anchor moveWithCells="1">
              <from>
                <xdr:col>5</xdr:col>
                <xdr:colOff>190500</xdr:colOff>
                <xdr:row>0</xdr:row>
                <xdr:rowOff>60960</xdr:rowOff>
              </from>
              <to>
                <xdr:col>6</xdr:col>
                <xdr:colOff>655320</xdr:colOff>
                <xdr:row>1</xdr:row>
                <xdr:rowOff>175260</xdr:rowOff>
              </to>
            </anchor>
          </controlPr>
        </control>
      </mc:Choice>
      <mc:Fallback>
        <control shapeId="10241" r:id="rId4" name="cmdRemoveLocks"/>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CC66FF"/>
  </sheetPr>
  <dimension ref="A1:K4"/>
  <sheetViews>
    <sheetView showGridLines="0" zoomScaleNormal="100" workbookViewId="0">
      <selection activeCell="K1" sqref="K1"/>
    </sheetView>
  </sheetViews>
  <sheetFormatPr defaultRowHeight="14.4" x14ac:dyDescent="0.3"/>
  <cols>
    <col min="1" max="1" width="9.33203125" bestFit="1" customWidth="1"/>
    <col min="2" max="2" width="7.44140625" bestFit="1" customWidth="1"/>
    <col min="3" max="3" width="12.33203125" bestFit="1" customWidth="1"/>
    <col min="4" max="4" width="10.6640625" bestFit="1" customWidth="1"/>
    <col min="5" max="5" width="11.6640625" bestFit="1" customWidth="1"/>
    <col min="6" max="6" width="9" bestFit="1" customWidth="1"/>
    <col min="7" max="7" width="10.44140625" bestFit="1" customWidth="1"/>
    <col min="8" max="8" width="13.5546875" bestFit="1" customWidth="1"/>
    <col min="9" max="9" width="11.109375" bestFit="1" customWidth="1"/>
    <col min="10" max="10" width="12.88671875" bestFit="1" customWidth="1"/>
    <col min="11" max="11" width="21.44140625" bestFit="1" customWidth="1"/>
    <col min="12" max="12" width="15.109375" bestFit="1" customWidth="1"/>
  </cols>
  <sheetData>
    <row r="1" spans="1:11" ht="17.399999999999999" x14ac:dyDescent="0.3">
      <c r="A1" s="78" t="s">
        <v>7</v>
      </c>
      <c r="B1" s="78"/>
      <c r="C1" s="78"/>
      <c r="D1" s="78"/>
      <c r="E1" s="78"/>
      <c r="F1" s="78"/>
      <c r="G1" s="78"/>
      <c r="H1" s="19"/>
      <c r="I1" s="19"/>
      <c r="J1" s="19"/>
      <c r="K1" s="36" t="s">
        <v>41</v>
      </c>
    </row>
    <row r="3" spans="1:11" x14ac:dyDescent="0.3">
      <c r="A3" t="s">
        <v>115</v>
      </c>
      <c r="B3" t="s">
        <v>108</v>
      </c>
      <c r="C3" t="s">
        <v>116</v>
      </c>
      <c r="D3" t="s">
        <v>117</v>
      </c>
      <c r="E3" t="s">
        <v>118</v>
      </c>
      <c r="F3" t="s">
        <v>119</v>
      </c>
      <c r="G3" t="s">
        <v>120</v>
      </c>
      <c r="H3" t="s">
        <v>114</v>
      </c>
      <c r="I3" t="s">
        <v>67</v>
      </c>
      <c r="J3" t="s">
        <v>168</v>
      </c>
    </row>
    <row r="4" spans="1:11" x14ac:dyDescent="0.3">
      <c r="H4" s="3"/>
      <c r="I4" s="10"/>
      <c r="J4" s="10"/>
    </row>
  </sheetData>
  <mergeCells count="1">
    <mergeCell ref="A1:G1"/>
  </mergeCells>
  <conditionalFormatting sqref="H3:J4">
    <cfRule type="cellIs" dxfId="41" priority="2" operator="equal">
      <formula>"OK"</formula>
    </cfRule>
  </conditionalFormatting>
  <conditionalFormatting sqref="H3:H4">
    <cfRule type="cellIs" dxfId="40" priority="1" operator="equal">
      <formula>"No match"</formula>
    </cfRule>
  </conditionalFormatting>
  <hyperlinks>
    <hyperlink ref="K1" location="Dashboard!A1" display="Dashboard" xr:uid="{26BC64E6-6EB9-4463-A315-1798BA87A2A1}"/>
  </hyperlinks>
  <pageMargins left="0.7" right="0.7" top="0.75" bottom="0.75" header="0.3" footer="0.3"/>
  <drawing r:id="rId1"/>
  <legacyDrawing r:id="rId2"/>
  <controls>
    <mc:AlternateContent xmlns:mc="http://schemas.openxmlformats.org/markup-compatibility/2006">
      <mc:Choice Requires="x14">
        <control shapeId="7169" r:id="rId3" name="cmdRemoveUnmatchedBatches">
          <controlPr defaultSize="0" autoLine="0" autoPict="0" r:id="rId4">
            <anchor moveWithCells="1">
              <from>
                <xdr:col>7</xdr:col>
                <xdr:colOff>0</xdr:colOff>
                <xdr:row>0</xdr:row>
                <xdr:rowOff>38100</xdr:rowOff>
              </from>
              <to>
                <xdr:col>9</xdr:col>
                <xdr:colOff>556260</xdr:colOff>
                <xdr:row>1</xdr:row>
                <xdr:rowOff>182880</xdr:rowOff>
              </to>
            </anchor>
          </controlPr>
        </control>
      </mc:Choice>
      <mc:Fallback>
        <control shapeId="7169" r:id="rId3" name="cmdRemoveUnmatchedBatches"/>
      </mc:Fallback>
    </mc:AlternateContent>
  </controls>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CCCC"/>
  </sheetPr>
  <dimension ref="A1:I57"/>
  <sheetViews>
    <sheetView showGridLines="0" workbookViewId="0">
      <selection activeCell="C9" sqref="C9"/>
    </sheetView>
  </sheetViews>
  <sheetFormatPr defaultRowHeight="14.4" x14ac:dyDescent="0.3"/>
  <cols>
    <col min="1" max="1" width="24.33203125" bestFit="1" customWidth="1"/>
    <col min="2" max="2" width="15.5546875" bestFit="1" customWidth="1"/>
    <col min="3" max="3" width="34.88671875" bestFit="1" customWidth="1"/>
    <col min="4" max="4" width="7" bestFit="1" customWidth="1"/>
    <col min="5" max="5" width="29.109375" bestFit="1" customWidth="1"/>
    <col min="6" max="6" width="15.5546875" bestFit="1" customWidth="1"/>
    <col min="7" max="7" width="11.33203125" bestFit="1" customWidth="1"/>
    <col min="8" max="8" width="7" bestFit="1" customWidth="1"/>
    <col min="9" max="9" width="21" customWidth="1"/>
  </cols>
  <sheetData>
    <row r="1" spans="1:9" ht="17.399999999999999" x14ac:dyDescent="0.3">
      <c r="A1" s="79" t="s">
        <v>3</v>
      </c>
      <c r="B1" s="79"/>
      <c r="C1" s="13"/>
      <c r="D1" s="13"/>
      <c r="E1" s="37" t="s">
        <v>41</v>
      </c>
      <c r="F1" s="13"/>
      <c r="G1" s="13"/>
      <c r="H1" s="13"/>
      <c r="I1" s="13"/>
    </row>
    <row r="3" spans="1:9" x14ac:dyDescent="0.3">
      <c r="A3" t="s">
        <v>95</v>
      </c>
      <c r="B3" t="s">
        <v>122</v>
      </c>
      <c r="C3" t="s">
        <v>124</v>
      </c>
      <c r="D3" t="s">
        <v>125</v>
      </c>
      <c r="E3" t="s">
        <v>123</v>
      </c>
      <c r="F3" t="s">
        <v>121</v>
      </c>
      <c r="G3" t="s">
        <v>80</v>
      </c>
    </row>
    <row r="4" spans="1:9" x14ac:dyDescent="0.3">
      <c r="A4" t="s">
        <v>126</v>
      </c>
      <c r="B4" t="s">
        <v>215</v>
      </c>
      <c r="C4" t="s">
        <v>164</v>
      </c>
      <c r="D4">
        <v>51</v>
      </c>
      <c r="E4" t="s">
        <v>127</v>
      </c>
      <c r="F4" t="s">
        <v>215</v>
      </c>
      <c r="G4" s="25" t="s">
        <v>83</v>
      </c>
    </row>
    <row r="5" spans="1:9" x14ac:dyDescent="0.3">
      <c r="A5" t="s">
        <v>126</v>
      </c>
      <c r="B5" t="s">
        <v>215</v>
      </c>
      <c r="C5" t="s">
        <v>164</v>
      </c>
      <c r="D5">
        <v>52</v>
      </c>
      <c r="E5" t="s">
        <v>127</v>
      </c>
      <c r="F5" t="s">
        <v>215</v>
      </c>
      <c r="G5" s="25" t="s">
        <v>83</v>
      </c>
    </row>
    <row r="6" spans="1:9" x14ac:dyDescent="0.3">
      <c r="A6" t="s">
        <v>126</v>
      </c>
      <c r="B6" t="s">
        <v>279</v>
      </c>
      <c r="C6" t="s">
        <v>164</v>
      </c>
      <c r="D6">
        <v>54</v>
      </c>
      <c r="E6" t="s">
        <v>127</v>
      </c>
      <c r="F6" t="s">
        <v>216</v>
      </c>
      <c r="G6" s="25" t="s">
        <v>83</v>
      </c>
    </row>
    <row r="7" spans="1:9" x14ac:dyDescent="0.3">
      <c r="A7" t="s">
        <v>126</v>
      </c>
      <c r="B7" t="s">
        <v>277</v>
      </c>
      <c r="C7" t="s">
        <v>165</v>
      </c>
      <c r="D7">
        <v>56</v>
      </c>
      <c r="E7" t="s">
        <v>127</v>
      </c>
      <c r="F7" t="s">
        <v>277</v>
      </c>
      <c r="G7" s="25" t="s">
        <v>83</v>
      </c>
    </row>
    <row r="8" spans="1:9" x14ac:dyDescent="0.3">
      <c r="A8" t="s">
        <v>126</v>
      </c>
      <c r="B8" t="s">
        <v>215</v>
      </c>
      <c r="C8" t="s">
        <v>75</v>
      </c>
      <c r="D8">
        <v>1</v>
      </c>
      <c r="E8" t="s">
        <v>161</v>
      </c>
      <c r="F8" t="s">
        <v>215</v>
      </c>
      <c r="G8" s="25" t="s">
        <v>130</v>
      </c>
    </row>
    <row r="9" spans="1:9" x14ac:dyDescent="0.3">
      <c r="A9" t="s">
        <v>126</v>
      </c>
      <c r="B9" t="s">
        <v>215</v>
      </c>
      <c r="C9" t="s">
        <v>75</v>
      </c>
      <c r="D9">
        <v>2</v>
      </c>
      <c r="E9" t="s">
        <v>162</v>
      </c>
      <c r="F9" t="s">
        <v>215</v>
      </c>
      <c r="G9" s="25" t="s">
        <v>130</v>
      </c>
    </row>
    <row r="10" spans="1:9" x14ac:dyDescent="0.3">
      <c r="A10" t="s">
        <v>126</v>
      </c>
      <c r="B10" t="s">
        <v>215</v>
      </c>
      <c r="C10" t="s">
        <v>75</v>
      </c>
      <c r="D10">
        <v>3</v>
      </c>
      <c r="E10" t="s">
        <v>137</v>
      </c>
      <c r="F10" t="s">
        <v>215</v>
      </c>
      <c r="G10" s="25" t="s">
        <v>130</v>
      </c>
    </row>
    <row r="11" spans="1:9" x14ac:dyDescent="0.3">
      <c r="A11" t="s">
        <v>126</v>
      </c>
      <c r="B11" t="s">
        <v>215</v>
      </c>
      <c r="C11" t="s">
        <v>75</v>
      </c>
      <c r="D11">
        <v>4</v>
      </c>
      <c r="E11" t="s">
        <v>132</v>
      </c>
      <c r="F11" t="s">
        <v>215</v>
      </c>
      <c r="G11" s="25" t="s">
        <v>130</v>
      </c>
    </row>
    <row r="12" spans="1:9" x14ac:dyDescent="0.3">
      <c r="A12" t="s">
        <v>126</v>
      </c>
      <c r="B12" t="s">
        <v>215</v>
      </c>
      <c r="C12" t="s">
        <v>75</v>
      </c>
      <c r="D12">
        <v>5</v>
      </c>
      <c r="E12" t="s">
        <v>163</v>
      </c>
      <c r="F12" t="s">
        <v>215</v>
      </c>
      <c r="G12" s="25" t="s">
        <v>130</v>
      </c>
    </row>
    <row r="13" spans="1:9" x14ac:dyDescent="0.3">
      <c r="A13" t="s">
        <v>126</v>
      </c>
      <c r="B13" t="s">
        <v>215</v>
      </c>
      <c r="C13" t="s">
        <v>75</v>
      </c>
      <c r="D13">
        <v>6</v>
      </c>
      <c r="E13" t="s">
        <v>131</v>
      </c>
      <c r="F13" t="s">
        <v>215</v>
      </c>
      <c r="G13" s="25" t="s">
        <v>130</v>
      </c>
    </row>
    <row r="14" spans="1:9" x14ac:dyDescent="0.3">
      <c r="A14" t="s">
        <v>126</v>
      </c>
      <c r="B14" t="s">
        <v>215</v>
      </c>
      <c r="C14" t="s">
        <v>75</v>
      </c>
      <c r="D14">
        <v>7</v>
      </c>
      <c r="E14" t="s">
        <v>134</v>
      </c>
      <c r="F14" t="s">
        <v>215</v>
      </c>
      <c r="G14" s="25" t="s">
        <v>130</v>
      </c>
    </row>
    <row r="15" spans="1:9" x14ac:dyDescent="0.3">
      <c r="A15" t="s">
        <v>126</v>
      </c>
      <c r="B15" t="s">
        <v>215</v>
      </c>
      <c r="C15" t="s">
        <v>75</v>
      </c>
      <c r="D15">
        <v>8</v>
      </c>
      <c r="E15" t="s">
        <v>135</v>
      </c>
      <c r="F15" t="s">
        <v>215</v>
      </c>
      <c r="G15" s="25" t="s">
        <v>130</v>
      </c>
    </row>
    <row r="16" spans="1:9" x14ac:dyDescent="0.3">
      <c r="A16" t="s">
        <v>126</v>
      </c>
      <c r="B16" t="s">
        <v>215</v>
      </c>
      <c r="C16" t="s">
        <v>75</v>
      </c>
      <c r="D16">
        <v>9</v>
      </c>
      <c r="E16" t="s">
        <v>133</v>
      </c>
      <c r="F16" t="s">
        <v>215</v>
      </c>
      <c r="G16" s="25" t="s">
        <v>130</v>
      </c>
    </row>
    <row r="17" spans="1:7" x14ac:dyDescent="0.3">
      <c r="A17" t="s">
        <v>126</v>
      </c>
      <c r="B17" t="s">
        <v>215</v>
      </c>
      <c r="C17" t="s">
        <v>75</v>
      </c>
      <c r="D17">
        <v>10</v>
      </c>
      <c r="E17" t="s">
        <v>136</v>
      </c>
      <c r="F17" t="s">
        <v>215</v>
      </c>
      <c r="G17" s="25" t="s">
        <v>130</v>
      </c>
    </row>
    <row r="18" spans="1:7" x14ac:dyDescent="0.3">
      <c r="A18" t="s">
        <v>126</v>
      </c>
      <c r="B18" t="s">
        <v>215</v>
      </c>
      <c r="C18" t="s">
        <v>75</v>
      </c>
      <c r="D18">
        <v>11</v>
      </c>
      <c r="E18" t="s">
        <v>138</v>
      </c>
      <c r="F18" t="s">
        <v>215</v>
      </c>
      <c r="G18" s="25" t="s">
        <v>130</v>
      </c>
    </row>
    <row r="19" spans="1:7" x14ac:dyDescent="0.3">
      <c r="A19" t="s">
        <v>126</v>
      </c>
      <c r="B19" t="s">
        <v>215</v>
      </c>
      <c r="C19" t="s">
        <v>75</v>
      </c>
      <c r="D19">
        <v>12</v>
      </c>
      <c r="E19" t="s">
        <v>139</v>
      </c>
      <c r="F19" t="s">
        <v>215</v>
      </c>
      <c r="G19" s="25" t="s">
        <v>130</v>
      </c>
    </row>
    <row r="20" spans="1:7" x14ac:dyDescent="0.3">
      <c r="A20" t="s">
        <v>126</v>
      </c>
      <c r="B20" t="s">
        <v>215</v>
      </c>
      <c r="C20" t="s">
        <v>75</v>
      </c>
      <c r="D20">
        <v>13</v>
      </c>
      <c r="E20" t="s">
        <v>141</v>
      </c>
      <c r="F20" t="s">
        <v>215</v>
      </c>
      <c r="G20" s="25" t="s">
        <v>130</v>
      </c>
    </row>
    <row r="21" spans="1:7" x14ac:dyDescent="0.3">
      <c r="A21" t="s">
        <v>126</v>
      </c>
      <c r="B21" t="s">
        <v>215</v>
      </c>
      <c r="C21" t="s">
        <v>75</v>
      </c>
      <c r="D21">
        <v>14</v>
      </c>
      <c r="E21" t="s">
        <v>140</v>
      </c>
      <c r="F21" t="s">
        <v>215</v>
      </c>
      <c r="G21" s="25" t="s">
        <v>83</v>
      </c>
    </row>
    <row r="22" spans="1:7" x14ac:dyDescent="0.3">
      <c r="A22" t="s">
        <v>126</v>
      </c>
      <c r="B22" t="s">
        <v>276</v>
      </c>
      <c r="C22" t="s">
        <v>75</v>
      </c>
      <c r="D22">
        <v>15</v>
      </c>
      <c r="E22" t="s">
        <v>140</v>
      </c>
      <c r="F22" t="s">
        <v>276</v>
      </c>
      <c r="G22" s="25" t="s">
        <v>83</v>
      </c>
    </row>
    <row r="23" spans="1:7" x14ac:dyDescent="0.3">
      <c r="A23" t="s">
        <v>126</v>
      </c>
      <c r="B23" t="s">
        <v>276</v>
      </c>
      <c r="C23" t="s">
        <v>75</v>
      </c>
      <c r="D23">
        <v>16</v>
      </c>
      <c r="E23" t="s">
        <v>140</v>
      </c>
      <c r="F23" t="s">
        <v>276</v>
      </c>
      <c r="G23" s="25" t="s">
        <v>83</v>
      </c>
    </row>
    <row r="24" spans="1:7" x14ac:dyDescent="0.3">
      <c r="A24" t="s">
        <v>126</v>
      </c>
      <c r="B24" t="s">
        <v>273</v>
      </c>
      <c r="C24" t="s">
        <v>75</v>
      </c>
      <c r="D24">
        <v>17</v>
      </c>
      <c r="E24" t="s">
        <v>140</v>
      </c>
      <c r="F24" t="s">
        <v>273</v>
      </c>
      <c r="G24" s="25" t="s">
        <v>83</v>
      </c>
    </row>
    <row r="25" spans="1:7" x14ac:dyDescent="0.3">
      <c r="A25" t="s">
        <v>126</v>
      </c>
      <c r="B25" t="s">
        <v>215</v>
      </c>
      <c r="C25" t="s">
        <v>75</v>
      </c>
      <c r="D25">
        <v>18</v>
      </c>
      <c r="E25" t="s">
        <v>142</v>
      </c>
      <c r="F25" t="s">
        <v>215</v>
      </c>
      <c r="G25" s="25" t="s">
        <v>130</v>
      </c>
    </row>
    <row r="26" spans="1:7" x14ac:dyDescent="0.3">
      <c r="A26" t="s">
        <v>126</v>
      </c>
      <c r="B26" t="s">
        <v>215</v>
      </c>
      <c r="C26" t="s">
        <v>75</v>
      </c>
      <c r="D26">
        <v>19</v>
      </c>
      <c r="E26" t="s">
        <v>160</v>
      </c>
      <c r="F26" t="s">
        <v>215</v>
      </c>
      <c r="G26" s="25" t="s">
        <v>130</v>
      </c>
    </row>
    <row r="27" spans="1:7" x14ac:dyDescent="0.3">
      <c r="A27" t="s">
        <v>126</v>
      </c>
      <c r="B27" t="s">
        <v>215</v>
      </c>
      <c r="C27" t="s">
        <v>75</v>
      </c>
      <c r="D27">
        <v>20</v>
      </c>
      <c r="E27" t="s">
        <v>143</v>
      </c>
      <c r="F27" t="s">
        <v>215</v>
      </c>
      <c r="G27" s="25" t="s">
        <v>130</v>
      </c>
    </row>
    <row r="28" spans="1:7" x14ac:dyDescent="0.3">
      <c r="A28" t="s">
        <v>126</v>
      </c>
      <c r="B28" t="s">
        <v>215</v>
      </c>
      <c r="C28" t="s">
        <v>75</v>
      </c>
      <c r="D28">
        <v>21</v>
      </c>
      <c r="E28" t="s">
        <v>144</v>
      </c>
      <c r="F28" t="s">
        <v>215</v>
      </c>
      <c r="G28" s="25" t="s">
        <v>130</v>
      </c>
    </row>
    <row r="29" spans="1:7" x14ac:dyDescent="0.3">
      <c r="A29" t="s">
        <v>126</v>
      </c>
      <c r="B29" t="s">
        <v>215</v>
      </c>
      <c r="C29" t="s">
        <v>75</v>
      </c>
      <c r="D29">
        <v>22</v>
      </c>
      <c r="E29" t="s">
        <v>140</v>
      </c>
      <c r="F29" t="s">
        <v>215</v>
      </c>
      <c r="G29" s="25" t="s">
        <v>130</v>
      </c>
    </row>
    <row r="30" spans="1:7" x14ac:dyDescent="0.3">
      <c r="A30" t="s">
        <v>126</v>
      </c>
      <c r="B30" t="s">
        <v>215</v>
      </c>
      <c r="C30" t="s">
        <v>75</v>
      </c>
      <c r="D30">
        <v>23</v>
      </c>
      <c r="E30" t="s">
        <v>145</v>
      </c>
      <c r="F30" t="s">
        <v>215</v>
      </c>
      <c r="G30" s="25" t="s">
        <v>130</v>
      </c>
    </row>
    <row r="31" spans="1:7" x14ac:dyDescent="0.3">
      <c r="A31" t="s">
        <v>126</v>
      </c>
      <c r="B31" t="s">
        <v>215</v>
      </c>
      <c r="C31" t="s">
        <v>75</v>
      </c>
      <c r="D31">
        <v>24</v>
      </c>
      <c r="E31" t="s">
        <v>136</v>
      </c>
      <c r="F31" t="s">
        <v>215</v>
      </c>
      <c r="G31" s="25" t="s">
        <v>130</v>
      </c>
    </row>
    <row r="32" spans="1:7" x14ac:dyDescent="0.3">
      <c r="A32" t="s">
        <v>126</v>
      </c>
      <c r="B32" t="s">
        <v>215</v>
      </c>
      <c r="C32" t="s">
        <v>75</v>
      </c>
      <c r="D32">
        <v>25</v>
      </c>
      <c r="E32" t="s">
        <v>136</v>
      </c>
      <c r="F32" t="s">
        <v>215</v>
      </c>
      <c r="G32" s="25" t="s">
        <v>130</v>
      </c>
    </row>
    <row r="33" spans="1:7" x14ac:dyDescent="0.3">
      <c r="A33" t="s">
        <v>126</v>
      </c>
      <c r="B33" t="s">
        <v>215</v>
      </c>
      <c r="C33" t="s">
        <v>75</v>
      </c>
      <c r="D33">
        <v>26</v>
      </c>
      <c r="E33" t="s">
        <v>136</v>
      </c>
      <c r="F33" t="s">
        <v>215</v>
      </c>
      <c r="G33" s="25" t="s">
        <v>130</v>
      </c>
    </row>
    <row r="34" spans="1:7" x14ac:dyDescent="0.3">
      <c r="A34" t="s">
        <v>126</v>
      </c>
      <c r="B34" t="s">
        <v>276</v>
      </c>
      <c r="C34" t="s">
        <v>75</v>
      </c>
      <c r="D34">
        <v>27</v>
      </c>
      <c r="E34" t="s">
        <v>140</v>
      </c>
      <c r="F34" t="s">
        <v>276</v>
      </c>
      <c r="G34" s="25" t="s">
        <v>83</v>
      </c>
    </row>
    <row r="35" spans="1:7" x14ac:dyDescent="0.3">
      <c r="A35" t="s">
        <v>126</v>
      </c>
      <c r="B35" t="s">
        <v>276</v>
      </c>
      <c r="C35" t="s">
        <v>75</v>
      </c>
      <c r="D35">
        <v>28</v>
      </c>
      <c r="E35" t="s">
        <v>140</v>
      </c>
      <c r="F35" t="s">
        <v>276</v>
      </c>
      <c r="G35" s="25" t="s">
        <v>83</v>
      </c>
    </row>
    <row r="36" spans="1:7" x14ac:dyDescent="0.3">
      <c r="A36" t="s">
        <v>126</v>
      </c>
      <c r="B36" t="s">
        <v>276</v>
      </c>
      <c r="C36" t="s">
        <v>75</v>
      </c>
      <c r="D36">
        <v>29</v>
      </c>
      <c r="E36" t="s">
        <v>140</v>
      </c>
      <c r="F36" t="s">
        <v>276</v>
      </c>
      <c r="G36" s="25" t="s">
        <v>83</v>
      </c>
    </row>
    <row r="37" spans="1:7" x14ac:dyDescent="0.3">
      <c r="A37" t="s">
        <v>126</v>
      </c>
      <c r="B37" t="s">
        <v>276</v>
      </c>
      <c r="C37" t="s">
        <v>75</v>
      </c>
      <c r="D37">
        <v>30</v>
      </c>
      <c r="E37" t="s">
        <v>140</v>
      </c>
      <c r="F37" t="s">
        <v>276</v>
      </c>
      <c r="G37" s="25" t="s">
        <v>83</v>
      </c>
    </row>
    <row r="38" spans="1:7" x14ac:dyDescent="0.3">
      <c r="A38" t="s">
        <v>126</v>
      </c>
      <c r="B38" t="s">
        <v>273</v>
      </c>
      <c r="C38" t="s">
        <v>75</v>
      </c>
      <c r="D38">
        <v>31</v>
      </c>
      <c r="E38" t="s">
        <v>140</v>
      </c>
      <c r="F38" t="s">
        <v>273</v>
      </c>
      <c r="G38" s="25" t="s">
        <v>83</v>
      </c>
    </row>
    <row r="39" spans="1:7" x14ac:dyDescent="0.3">
      <c r="A39" t="s">
        <v>126</v>
      </c>
      <c r="B39" t="s">
        <v>273</v>
      </c>
      <c r="C39" t="s">
        <v>75</v>
      </c>
      <c r="D39">
        <v>32</v>
      </c>
      <c r="E39" t="s">
        <v>140</v>
      </c>
      <c r="F39" t="s">
        <v>273</v>
      </c>
      <c r="G39" s="25" t="s">
        <v>83</v>
      </c>
    </row>
    <row r="40" spans="1:7" x14ac:dyDescent="0.3">
      <c r="A40" t="s">
        <v>126</v>
      </c>
      <c r="B40" t="s">
        <v>276</v>
      </c>
      <c r="C40" t="s">
        <v>75</v>
      </c>
      <c r="D40">
        <v>33</v>
      </c>
      <c r="E40" t="s">
        <v>140</v>
      </c>
      <c r="F40" t="s">
        <v>276</v>
      </c>
      <c r="G40" s="25" t="s">
        <v>83</v>
      </c>
    </row>
    <row r="41" spans="1:7" x14ac:dyDescent="0.3">
      <c r="A41" t="s">
        <v>126</v>
      </c>
      <c r="B41" t="s">
        <v>276</v>
      </c>
      <c r="C41" t="s">
        <v>75</v>
      </c>
      <c r="D41">
        <v>34</v>
      </c>
      <c r="E41" t="s">
        <v>140</v>
      </c>
      <c r="F41" t="s">
        <v>276</v>
      </c>
      <c r="G41" s="25" t="s">
        <v>83</v>
      </c>
    </row>
    <row r="42" spans="1:7" x14ac:dyDescent="0.3">
      <c r="A42" t="s">
        <v>126</v>
      </c>
      <c r="B42" t="s">
        <v>276</v>
      </c>
      <c r="C42" t="s">
        <v>75</v>
      </c>
      <c r="D42">
        <v>35</v>
      </c>
      <c r="E42" t="s">
        <v>140</v>
      </c>
      <c r="F42" t="s">
        <v>276</v>
      </c>
      <c r="G42" s="25" t="s">
        <v>83</v>
      </c>
    </row>
    <row r="43" spans="1:7" x14ac:dyDescent="0.3">
      <c r="A43" t="s">
        <v>126</v>
      </c>
      <c r="B43" t="s">
        <v>276</v>
      </c>
      <c r="C43" t="s">
        <v>75</v>
      </c>
      <c r="D43">
        <v>36</v>
      </c>
      <c r="E43" t="s">
        <v>140</v>
      </c>
      <c r="F43" t="s">
        <v>276</v>
      </c>
      <c r="G43" s="25" t="s">
        <v>83</v>
      </c>
    </row>
    <row r="44" spans="1:7" x14ac:dyDescent="0.3">
      <c r="A44" t="s">
        <v>126</v>
      </c>
      <c r="B44" t="s">
        <v>276</v>
      </c>
      <c r="C44" t="s">
        <v>75</v>
      </c>
      <c r="D44">
        <v>37</v>
      </c>
      <c r="E44" t="s">
        <v>140</v>
      </c>
      <c r="F44" t="s">
        <v>276</v>
      </c>
      <c r="G44" s="25" t="s">
        <v>83</v>
      </c>
    </row>
    <row r="45" spans="1:7" x14ac:dyDescent="0.3">
      <c r="A45" t="s">
        <v>126</v>
      </c>
      <c r="B45" t="s">
        <v>276</v>
      </c>
      <c r="C45" t="s">
        <v>75</v>
      </c>
      <c r="D45">
        <v>38</v>
      </c>
      <c r="E45" t="s">
        <v>140</v>
      </c>
      <c r="F45" t="s">
        <v>276</v>
      </c>
      <c r="G45" s="25" t="s">
        <v>83</v>
      </c>
    </row>
    <row r="46" spans="1:7" x14ac:dyDescent="0.3">
      <c r="A46" t="s">
        <v>126</v>
      </c>
      <c r="B46" t="s">
        <v>278</v>
      </c>
      <c r="C46" t="s">
        <v>75</v>
      </c>
      <c r="D46">
        <v>39</v>
      </c>
      <c r="E46" t="s">
        <v>140</v>
      </c>
      <c r="F46" t="s">
        <v>278</v>
      </c>
      <c r="G46" s="25" t="s">
        <v>83</v>
      </c>
    </row>
    <row r="47" spans="1:7" x14ac:dyDescent="0.3">
      <c r="A47" t="s">
        <v>126</v>
      </c>
      <c r="B47" t="s">
        <v>278</v>
      </c>
      <c r="C47" t="s">
        <v>75</v>
      </c>
      <c r="D47">
        <v>40</v>
      </c>
      <c r="E47" t="s">
        <v>140</v>
      </c>
      <c r="F47" t="s">
        <v>278</v>
      </c>
      <c r="G47" s="25" t="s">
        <v>83</v>
      </c>
    </row>
    <row r="48" spans="1:7" x14ac:dyDescent="0.3">
      <c r="A48" t="s">
        <v>126</v>
      </c>
      <c r="B48" t="s">
        <v>278</v>
      </c>
      <c r="C48" t="s">
        <v>75</v>
      </c>
      <c r="D48">
        <v>41</v>
      </c>
      <c r="E48" t="s">
        <v>140</v>
      </c>
      <c r="F48" t="s">
        <v>278</v>
      </c>
      <c r="G48" s="25" t="s">
        <v>83</v>
      </c>
    </row>
    <row r="49" spans="1:7" x14ac:dyDescent="0.3">
      <c r="A49" t="s">
        <v>126</v>
      </c>
      <c r="B49" t="s">
        <v>278</v>
      </c>
      <c r="C49" t="s">
        <v>75</v>
      </c>
      <c r="D49">
        <v>42</v>
      </c>
      <c r="E49" t="s">
        <v>140</v>
      </c>
      <c r="F49" t="s">
        <v>278</v>
      </c>
      <c r="G49" s="25" t="s">
        <v>83</v>
      </c>
    </row>
    <row r="50" spans="1:7" x14ac:dyDescent="0.3">
      <c r="A50" t="s">
        <v>126</v>
      </c>
      <c r="B50" t="s">
        <v>274</v>
      </c>
      <c r="C50" t="s">
        <v>75</v>
      </c>
      <c r="D50">
        <v>44</v>
      </c>
      <c r="E50" t="s">
        <v>140</v>
      </c>
      <c r="F50" t="s">
        <v>274</v>
      </c>
      <c r="G50" s="25" t="s">
        <v>83</v>
      </c>
    </row>
    <row r="51" spans="1:7" x14ac:dyDescent="0.3">
      <c r="A51" t="s">
        <v>126</v>
      </c>
      <c r="B51" t="s">
        <v>279</v>
      </c>
      <c r="C51" t="s">
        <v>166</v>
      </c>
      <c r="D51">
        <v>57</v>
      </c>
      <c r="E51" t="s">
        <v>127</v>
      </c>
      <c r="F51" t="s">
        <v>279</v>
      </c>
      <c r="G51" s="25" t="s">
        <v>83</v>
      </c>
    </row>
    <row r="52" spans="1:7" x14ac:dyDescent="0.3">
      <c r="A52" t="s">
        <v>126</v>
      </c>
      <c r="B52" t="s">
        <v>279</v>
      </c>
      <c r="C52" t="s">
        <v>166</v>
      </c>
      <c r="D52">
        <v>58</v>
      </c>
      <c r="E52" t="s">
        <v>129</v>
      </c>
      <c r="F52" t="s">
        <v>279</v>
      </c>
      <c r="G52" s="25" t="s">
        <v>128</v>
      </c>
    </row>
    <row r="53" spans="1:7" x14ac:dyDescent="0.3">
      <c r="A53" t="s">
        <v>126</v>
      </c>
      <c r="B53" t="s">
        <v>250</v>
      </c>
      <c r="C53" t="s">
        <v>166</v>
      </c>
      <c r="D53">
        <v>59</v>
      </c>
      <c r="E53" t="s">
        <v>127</v>
      </c>
      <c r="F53" t="s">
        <v>214</v>
      </c>
      <c r="G53" s="25" t="s">
        <v>83</v>
      </c>
    </row>
    <row r="54" spans="1:7" x14ac:dyDescent="0.3">
      <c r="A54" t="s">
        <v>126</v>
      </c>
      <c r="B54" t="s">
        <v>250</v>
      </c>
      <c r="C54" t="s">
        <v>166</v>
      </c>
      <c r="D54">
        <v>61</v>
      </c>
      <c r="E54" t="s">
        <v>127</v>
      </c>
      <c r="F54" t="s">
        <v>250</v>
      </c>
      <c r="G54" s="25" t="s">
        <v>83</v>
      </c>
    </row>
    <row r="55" spans="1:7" x14ac:dyDescent="0.3">
      <c r="A55" t="s">
        <v>126</v>
      </c>
      <c r="B55" t="s">
        <v>250</v>
      </c>
      <c r="C55" t="s">
        <v>166</v>
      </c>
      <c r="D55">
        <v>78</v>
      </c>
      <c r="E55" t="s">
        <v>127</v>
      </c>
      <c r="F55" t="s">
        <v>250</v>
      </c>
      <c r="G55" s="25" t="s">
        <v>83</v>
      </c>
    </row>
    <row r="56" spans="1:7" x14ac:dyDescent="0.3">
      <c r="A56" t="s">
        <v>126</v>
      </c>
      <c r="B56" t="s">
        <v>275</v>
      </c>
      <c r="C56" t="s">
        <v>166</v>
      </c>
      <c r="D56">
        <v>55</v>
      </c>
      <c r="E56" t="s">
        <v>127</v>
      </c>
      <c r="F56" t="s">
        <v>275</v>
      </c>
      <c r="G56" s="25" t="s">
        <v>83</v>
      </c>
    </row>
    <row r="57" spans="1:7" x14ac:dyDescent="0.3">
      <c r="A57" t="s">
        <v>126</v>
      </c>
      <c r="B57" t="s">
        <v>251</v>
      </c>
      <c r="C57" t="s">
        <v>166</v>
      </c>
      <c r="D57">
        <v>53</v>
      </c>
      <c r="E57" t="s">
        <v>127</v>
      </c>
      <c r="F57" t="s">
        <v>251</v>
      </c>
      <c r="G57" s="25" t="s">
        <v>83</v>
      </c>
    </row>
  </sheetData>
  <mergeCells count="1">
    <mergeCell ref="A1:B1"/>
  </mergeCells>
  <hyperlinks>
    <hyperlink ref="E1" location="Dashboard!A1" display="Dashboard" xr:uid="{50289135-D68B-4066-B23D-8A1FAEB87140}"/>
  </hyperlinks>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00FF00"/>
  </sheetPr>
  <dimension ref="A1:L4"/>
  <sheetViews>
    <sheetView showGridLines="0" workbookViewId="0">
      <selection sqref="A1:G1"/>
    </sheetView>
  </sheetViews>
  <sheetFormatPr defaultRowHeight="14.4" x14ac:dyDescent="0.3"/>
  <cols>
    <col min="1" max="2" width="9.5546875" bestFit="1" customWidth="1"/>
    <col min="3" max="3" width="11.6640625" bestFit="1" customWidth="1"/>
    <col min="4" max="4" width="13.109375" bestFit="1" customWidth="1"/>
    <col min="5" max="5" width="9.6640625" bestFit="1" customWidth="1"/>
    <col min="6" max="6" width="11.88671875" bestFit="1" customWidth="1"/>
    <col min="7" max="7" width="11" bestFit="1" customWidth="1"/>
    <col min="8" max="8" width="8.88671875" bestFit="1" customWidth="1"/>
    <col min="9" max="9" width="15.88671875" bestFit="1" customWidth="1"/>
    <col min="10" max="10" width="15.109375" bestFit="1" customWidth="1"/>
    <col min="11" max="11" width="15.88671875" bestFit="1" customWidth="1"/>
    <col min="12" max="12" width="15.109375" bestFit="1" customWidth="1"/>
  </cols>
  <sheetData>
    <row r="1" spans="1:12" ht="17.399999999999999" x14ac:dyDescent="0.3">
      <c r="A1" s="80" t="s">
        <v>8</v>
      </c>
      <c r="B1" s="80"/>
      <c r="C1" s="80"/>
      <c r="D1" s="80"/>
      <c r="E1" s="80"/>
      <c r="F1" s="80"/>
      <c r="G1" s="80"/>
      <c r="H1" s="14"/>
      <c r="I1" s="15"/>
      <c r="J1" s="15"/>
      <c r="K1" s="15"/>
      <c r="L1" s="38" t="s">
        <v>41</v>
      </c>
    </row>
    <row r="3" spans="1:12" x14ac:dyDescent="0.3">
      <c r="A3" t="s">
        <v>146</v>
      </c>
      <c r="B3" t="s">
        <v>147</v>
      </c>
      <c r="C3" t="s">
        <v>148</v>
      </c>
      <c r="D3" t="s">
        <v>149</v>
      </c>
      <c r="E3" t="s">
        <v>108</v>
      </c>
      <c r="F3" t="s">
        <v>150</v>
      </c>
      <c r="G3" t="s">
        <v>151</v>
      </c>
      <c r="H3" t="s">
        <v>152</v>
      </c>
      <c r="I3" t="s">
        <v>114</v>
      </c>
      <c r="J3" t="s">
        <v>168</v>
      </c>
    </row>
    <row r="4" spans="1:12" x14ac:dyDescent="0.3">
      <c r="I4" s="3"/>
      <c r="J4" s="3"/>
    </row>
  </sheetData>
  <mergeCells count="1">
    <mergeCell ref="A1:G1"/>
  </mergeCells>
  <conditionalFormatting sqref="I3:J4">
    <cfRule type="cellIs" dxfId="35" priority="2" operator="equal">
      <formula>"OK"</formula>
    </cfRule>
  </conditionalFormatting>
  <conditionalFormatting sqref="I3:J4">
    <cfRule type="cellIs" dxfId="34" priority="1" operator="equal">
      <formula>"No match"</formula>
    </cfRule>
  </conditionalFormatting>
  <hyperlinks>
    <hyperlink ref="L1" location="Dashboard!A1" display="Dashboard" xr:uid="{11CFAFF0-9F81-44C2-AE35-5C4C88C5CE9F}"/>
  </hyperlinks>
  <pageMargins left="0.7" right="0.7" top="0.75" bottom="0.75" header="0.3" footer="0.3"/>
  <drawing r:id="rId1"/>
  <legacyDrawing r:id="rId2"/>
  <controls>
    <mc:AlternateContent xmlns:mc="http://schemas.openxmlformats.org/markup-compatibility/2006">
      <mc:Choice Requires="x14">
        <control shapeId="8193" r:id="rId3" name="cmdCloseResources">
          <controlPr defaultSize="0" autoLine="0" autoPict="0" r:id="rId4">
            <anchor moveWithCells="1">
              <from>
                <xdr:col>7</xdr:col>
                <xdr:colOff>304800</xdr:colOff>
                <xdr:row>0</xdr:row>
                <xdr:rowOff>38100</xdr:rowOff>
              </from>
              <to>
                <xdr:col>9</xdr:col>
                <xdr:colOff>655320</xdr:colOff>
                <xdr:row>1</xdr:row>
                <xdr:rowOff>114300</xdr:rowOff>
              </to>
            </anchor>
          </controlPr>
        </control>
      </mc:Choice>
      <mc:Fallback>
        <control shapeId="8193" r:id="rId3" name="cmdCloseResources"/>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6666FF"/>
  </sheetPr>
  <dimension ref="A1:N9"/>
  <sheetViews>
    <sheetView showGridLines="0" workbookViewId="0">
      <selection activeCell="K1" sqref="K1"/>
    </sheetView>
  </sheetViews>
  <sheetFormatPr defaultRowHeight="14.4" x14ac:dyDescent="0.3"/>
  <cols>
    <col min="1" max="1" width="13.44140625" bestFit="1" customWidth="1"/>
    <col min="2" max="2" width="12.5546875" bestFit="1" customWidth="1"/>
    <col min="3" max="3" width="13.109375" bestFit="1" customWidth="1"/>
    <col min="4" max="4" width="15.88671875" bestFit="1" customWidth="1"/>
    <col min="5" max="5" width="9.6640625" bestFit="1" customWidth="1"/>
    <col min="6" max="6" width="14.5546875" bestFit="1" customWidth="1"/>
    <col min="7" max="7" width="12.33203125" bestFit="1" customWidth="1"/>
    <col min="8" max="8" width="13.109375" bestFit="1" customWidth="1"/>
    <col min="9" max="9" width="6" customWidth="1"/>
    <col min="10" max="10" width="2.5546875" customWidth="1"/>
    <col min="11" max="11" width="13.44140625" customWidth="1"/>
    <col min="12" max="12" width="12.5546875" customWidth="1"/>
    <col min="13" max="13" width="9.44140625" customWidth="1"/>
    <col min="14" max="14" width="19" customWidth="1"/>
  </cols>
  <sheetData>
    <row r="1" spans="1:14" ht="17.399999999999999" x14ac:dyDescent="0.3">
      <c r="A1" s="70" t="s">
        <v>18</v>
      </c>
      <c r="B1" s="70"/>
      <c r="C1" s="70"/>
      <c r="D1" s="70"/>
      <c r="E1" s="70"/>
      <c r="F1" s="70"/>
      <c r="G1" s="20"/>
      <c r="H1" s="20"/>
      <c r="I1" s="6"/>
      <c r="J1" s="6"/>
      <c r="K1" s="39" t="s">
        <v>41</v>
      </c>
      <c r="L1" s="6"/>
      <c r="M1" s="6"/>
      <c r="N1" s="6"/>
    </row>
    <row r="3" spans="1:14" x14ac:dyDescent="0.3">
      <c r="A3" t="s">
        <v>95</v>
      </c>
      <c r="B3" t="s">
        <v>112</v>
      </c>
      <c r="C3" t="s">
        <v>153</v>
      </c>
      <c r="D3" t="s">
        <v>114</v>
      </c>
      <c r="E3" t="s">
        <v>108</v>
      </c>
      <c r="F3" t="s">
        <v>116</v>
      </c>
      <c r="G3" t="s">
        <v>154</v>
      </c>
      <c r="H3" t="s">
        <v>87</v>
      </c>
      <c r="K3" s="81" t="s">
        <v>22</v>
      </c>
      <c r="L3" s="81"/>
      <c r="M3" s="81"/>
    </row>
    <row r="4" spans="1:14" x14ac:dyDescent="0.3">
      <c r="D4" s="3"/>
      <c r="E4" s="10"/>
      <c r="F4" s="10"/>
      <c r="G4" s="10"/>
      <c r="H4" s="10"/>
      <c r="K4" s="81"/>
      <c r="L4" s="81"/>
      <c r="M4" s="81"/>
    </row>
    <row r="5" spans="1:14" x14ac:dyDescent="0.3">
      <c r="K5" s="81"/>
      <c r="L5" s="81"/>
      <c r="M5" s="81"/>
    </row>
    <row r="6" spans="1:14" x14ac:dyDescent="0.3">
      <c r="K6" s="81"/>
      <c r="L6" s="81"/>
      <c r="M6" s="81"/>
    </row>
    <row r="7" spans="1:14" x14ac:dyDescent="0.3">
      <c r="K7" s="81"/>
      <c r="L7" s="81"/>
      <c r="M7" s="81"/>
    </row>
    <row r="8" spans="1:14" x14ac:dyDescent="0.3">
      <c r="K8" s="81"/>
      <c r="L8" s="81"/>
      <c r="M8" s="81"/>
    </row>
    <row r="9" spans="1:14" x14ac:dyDescent="0.3">
      <c r="K9" s="81"/>
      <c r="L9" s="81"/>
      <c r="M9" s="81"/>
    </row>
  </sheetData>
  <mergeCells count="2">
    <mergeCell ref="A1:F1"/>
    <mergeCell ref="K3:M9"/>
  </mergeCells>
  <conditionalFormatting sqref="D3:H4">
    <cfRule type="cellIs" dxfId="31" priority="5" operator="equal">
      <formula>"No ACTIVITY"</formula>
    </cfRule>
    <cfRule type="cellIs" dxfId="30" priority="6" operator="equal">
      <formula>"OK"</formula>
    </cfRule>
  </conditionalFormatting>
  <conditionalFormatting sqref="D3:D4">
    <cfRule type="cellIs" dxfId="29" priority="4" operator="equal">
      <formula>"NO DEX_SESSION"</formula>
    </cfRule>
  </conditionalFormatting>
  <conditionalFormatting sqref="G3:H4">
    <cfRule type="cellIs" dxfId="28" priority="3" operator="equal">
      <formula>"No match"</formula>
    </cfRule>
  </conditionalFormatting>
  <conditionalFormatting sqref="H3:H4">
    <cfRule type="cellIs" dxfId="27" priority="2" operator="equal">
      <formula>0</formula>
    </cfRule>
  </conditionalFormatting>
  <conditionalFormatting sqref="G3:G4">
    <cfRule type="cellIs" dxfId="26" priority="1" operator="equal">
      <formula>"Unlinked"</formula>
    </cfRule>
  </conditionalFormatting>
  <hyperlinks>
    <hyperlink ref="K1" location="Dashboard!A1" display="Dashboard" xr:uid="{B74C5E61-C083-4F75-8194-04C210A3A2C9}"/>
  </hyperlinks>
  <pageMargins left="0.7" right="0.7" top="0.75" bottom="0.75" header="0.3" footer="0.3"/>
  <drawing r:id="rId1"/>
  <legacyDrawing r:id="rId2"/>
  <controls>
    <mc:AlternateContent xmlns:mc="http://schemas.openxmlformats.org/markup-compatibility/2006">
      <mc:Choice Requires="x14">
        <control shapeId="4097" r:id="rId3" name="cmdRemoveSessions">
          <controlPr defaultSize="0" autoLine="0" autoPict="0" r:id="rId4">
            <anchor moveWithCells="1">
              <from>
                <xdr:col>6</xdr:col>
                <xdr:colOff>594360</xdr:colOff>
                <xdr:row>0</xdr:row>
                <xdr:rowOff>76200</xdr:rowOff>
              </from>
              <to>
                <xdr:col>10</xdr:col>
                <xdr:colOff>60960</xdr:colOff>
                <xdr:row>1</xdr:row>
                <xdr:rowOff>137160</xdr:rowOff>
              </to>
            </anchor>
          </controlPr>
        </control>
      </mc:Choice>
      <mc:Fallback>
        <control shapeId="4097" r:id="rId3" name="cmdRemoveSessions"/>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25A4A-4303-4366-A58C-E126CA1A570C}">
  <sheetPr codeName="Sheet14">
    <tabColor rgb="FFFFCCFF"/>
  </sheetPr>
  <dimension ref="A1:K21"/>
  <sheetViews>
    <sheetView showGridLines="0" zoomScaleNormal="100" workbookViewId="0">
      <pane xSplit="1" ySplit="4" topLeftCell="B8" activePane="bottomRight" state="frozen"/>
      <selection pane="topRight" activeCell="B1" sqref="B1"/>
      <selection pane="bottomLeft" activeCell="A5" sqref="A5"/>
      <selection pane="bottomRight" activeCell="B9" sqref="B9"/>
    </sheetView>
  </sheetViews>
  <sheetFormatPr defaultRowHeight="14.4" x14ac:dyDescent="0.3"/>
  <cols>
    <col min="1" max="1" width="7.6640625" bestFit="1" customWidth="1"/>
    <col min="2" max="2" width="8.33203125" bestFit="1" customWidth="1"/>
    <col min="3" max="5" width="3.6640625" bestFit="1" customWidth="1"/>
    <col min="6" max="6" width="4" bestFit="1" customWidth="1"/>
    <col min="7" max="11" width="3.6640625" bestFit="1" customWidth="1"/>
    <col min="12" max="114" width="5.5546875" bestFit="1" customWidth="1"/>
    <col min="115" max="115" width="4" bestFit="1" customWidth="1"/>
  </cols>
  <sheetData>
    <row r="1" spans="1:11" x14ac:dyDescent="0.3">
      <c r="E1" s="40" t="s">
        <v>41</v>
      </c>
    </row>
    <row r="3" spans="1:11" x14ac:dyDescent="0.3">
      <c r="A3" s="29" t="s">
        <v>14</v>
      </c>
      <c r="B3" s="29" t="s">
        <v>40</v>
      </c>
    </row>
    <row r="4" spans="1:11" s="62" customFormat="1" ht="68.400000000000006" x14ac:dyDescent="0.3">
      <c r="A4" s="29" t="s">
        <v>52</v>
      </c>
      <c r="B4" s="63" t="s">
        <v>173</v>
      </c>
      <c r="C4" s="63" t="s">
        <v>177</v>
      </c>
      <c r="D4" s="63" t="s">
        <v>182</v>
      </c>
      <c r="E4" s="63" t="s">
        <v>75</v>
      </c>
      <c r="F4"/>
      <c r="G4"/>
      <c r="H4"/>
      <c r="I4"/>
      <c r="J4"/>
      <c r="K4"/>
    </row>
    <row r="5" spans="1:11" x14ac:dyDescent="0.3">
      <c r="A5" s="10" t="s">
        <v>219</v>
      </c>
      <c r="E5">
        <v>1</v>
      </c>
    </row>
    <row r="6" spans="1:11" x14ac:dyDescent="0.3">
      <c r="A6" s="10" t="s">
        <v>221</v>
      </c>
      <c r="B6">
        <v>1</v>
      </c>
    </row>
    <row r="7" spans="1:11" x14ac:dyDescent="0.3">
      <c r="A7" s="10" t="s">
        <v>224</v>
      </c>
      <c r="E7">
        <v>2</v>
      </c>
    </row>
    <row r="8" spans="1:11" x14ac:dyDescent="0.3">
      <c r="A8" s="10" t="s">
        <v>226</v>
      </c>
      <c r="C8">
        <v>1</v>
      </c>
      <c r="D8">
        <v>1</v>
      </c>
      <c r="E8">
        <v>1</v>
      </c>
    </row>
    <row r="9" spans="1:11" x14ac:dyDescent="0.3">
      <c r="A9" s="10" t="s">
        <v>230</v>
      </c>
      <c r="C9">
        <v>1</v>
      </c>
      <c r="E9">
        <v>1</v>
      </c>
    </row>
    <row r="10" spans="1:11" x14ac:dyDescent="0.3">
      <c r="A10" s="10" t="s">
        <v>233</v>
      </c>
      <c r="C10">
        <v>2</v>
      </c>
      <c r="D10">
        <v>4</v>
      </c>
    </row>
    <row r="11" spans="1:11" x14ac:dyDescent="0.3">
      <c r="A11" s="10" t="s">
        <v>237</v>
      </c>
      <c r="B11">
        <v>1</v>
      </c>
    </row>
    <row r="12" spans="1:11" x14ac:dyDescent="0.3">
      <c r="A12" s="10" t="s">
        <v>240</v>
      </c>
      <c r="C12">
        <v>1</v>
      </c>
    </row>
    <row r="13" spans="1:11" x14ac:dyDescent="0.3">
      <c r="A13" s="10" t="s">
        <v>243</v>
      </c>
      <c r="C13">
        <v>8</v>
      </c>
      <c r="D13">
        <v>3</v>
      </c>
    </row>
    <row r="14" spans="1:11" x14ac:dyDescent="0.3">
      <c r="A14" s="10" t="s">
        <v>253</v>
      </c>
      <c r="B14">
        <v>1</v>
      </c>
    </row>
    <row r="15" spans="1:11" x14ac:dyDescent="0.3">
      <c r="A15" s="10" t="s">
        <v>255</v>
      </c>
      <c r="B15">
        <v>1</v>
      </c>
    </row>
    <row r="16" spans="1:11" x14ac:dyDescent="0.3">
      <c r="A16" s="10" t="s">
        <v>257</v>
      </c>
      <c r="B16">
        <v>1</v>
      </c>
    </row>
    <row r="17" spans="1:5" x14ac:dyDescent="0.3">
      <c r="A17" s="10" t="s">
        <v>259</v>
      </c>
      <c r="B17">
        <v>1</v>
      </c>
    </row>
    <row r="18" spans="1:5" x14ac:dyDescent="0.3">
      <c r="A18" s="10" t="s">
        <v>261</v>
      </c>
      <c r="B18">
        <v>1</v>
      </c>
    </row>
    <row r="19" spans="1:5" x14ac:dyDescent="0.3">
      <c r="A19" s="10" t="s">
        <v>263</v>
      </c>
      <c r="B19">
        <v>1</v>
      </c>
    </row>
    <row r="20" spans="1:5" x14ac:dyDescent="0.3">
      <c r="A20" s="10" t="s">
        <v>265</v>
      </c>
      <c r="B20">
        <v>1</v>
      </c>
    </row>
    <row r="21" spans="1:5" x14ac:dyDescent="0.3">
      <c r="A21" s="10" t="s">
        <v>267</v>
      </c>
      <c r="C21">
        <v>2</v>
      </c>
      <c r="D21">
        <v>2</v>
      </c>
      <c r="E21">
        <v>5</v>
      </c>
    </row>
  </sheetData>
  <hyperlinks>
    <hyperlink ref="E1" location="Dashboard!A1" display="Dashboard" xr:uid="{FDAC3F64-E0FA-4DD6-8FDE-A6AB26F0FB8E}"/>
  </hyperlinks>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FF66FF"/>
  </sheetPr>
  <dimension ref="A1:K47"/>
  <sheetViews>
    <sheetView workbookViewId="0">
      <pane xSplit="5" ySplit="3" topLeftCell="F4" activePane="bottomRight" state="frozen"/>
      <selection pane="topRight" activeCell="F1" sqref="F1"/>
      <selection pane="bottomLeft" activeCell="A4" sqref="A4"/>
      <selection pane="bottomRight"/>
    </sheetView>
  </sheetViews>
  <sheetFormatPr defaultRowHeight="14.4" x14ac:dyDescent="0.3"/>
  <cols>
    <col min="1" max="1" width="13.44140625" bestFit="1" customWidth="1"/>
    <col min="2" max="2" width="13.33203125" bestFit="1" customWidth="1"/>
    <col min="3" max="3" width="12.109375" bestFit="1" customWidth="1"/>
    <col min="4" max="4" width="10.44140625" bestFit="1" customWidth="1"/>
    <col min="5" max="5" width="8.6640625" bestFit="1" customWidth="1"/>
    <col min="6" max="6" width="41" bestFit="1" customWidth="1"/>
    <col min="7" max="7" width="16.5546875" hidden="1" customWidth="1"/>
    <col min="8" max="8" width="41" bestFit="1" customWidth="1"/>
    <col min="9" max="9" width="18.5546875" bestFit="1" customWidth="1"/>
    <col min="10" max="10" width="13.88671875" bestFit="1" customWidth="1"/>
    <col min="11" max="11" width="11.109375" bestFit="1" customWidth="1"/>
  </cols>
  <sheetData>
    <row r="1" spans="1:11" ht="17.399999999999999" x14ac:dyDescent="0.3">
      <c r="A1" s="22" t="s">
        <v>21</v>
      </c>
      <c r="B1" s="23"/>
      <c r="C1" s="41" t="s">
        <v>41</v>
      </c>
      <c r="D1" s="23"/>
      <c r="E1" s="23"/>
      <c r="F1" s="23"/>
      <c r="G1" s="23"/>
      <c r="H1" s="23"/>
      <c r="I1" s="23"/>
      <c r="J1" s="23"/>
      <c r="K1" s="23"/>
    </row>
    <row r="3" spans="1:11" x14ac:dyDescent="0.3">
      <c r="A3" t="s">
        <v>62</v>
      </c>
      <c r="B3" t="s">
        <v>63</v>
      </c>
      <c r="C3" t="s">
        <v>64</v>
      </c>
      <c r="D3" t="s">
        <v>65</v>
      </c>
      <c r="E3" t="s">
        <v>66</v>
      </c>
      <c r="F3" t="s">
        <v>67</v>
      </c>
      <c r="G3" t="s">
        <v>68</v>
      </c>
      <c r="H3" t="s">
        <v>69</v>
      </c>
      <c r="I3" t="s">
        <v>156</v>
      </c>
      <c r="J3" t="s">
        <v>157</v>
      </c>
      <c r="K3" t="s">
        <v>158</v>
      </c>
    </row>
    <row r="4" spans="1:11" x14ac:dyDescent="0.3">
      <c r="A4" t="s">
        <v>167</v>
      </c>
      <c r="B4" t="s">
        <v>75</v>
      </c>
      <c r="C4">
        <v>3</v>
      </c>
      <c r="D4" s="8" t="s">
        <v>218</v>
      </c>
      <c r="E4" s="24" t="s">
        <v>272</v>
      </c>
      <c r="F4" t="s">
        <v>183</v>
      </c>
      <c r="G4" s="64" t="s">
        <v>266</v>
      </c>
      <c r="H4" t="s">
        <v>170</v>
      </c>
      <c r="I4">
        <v>131</v>
      </c>
      <c r="J4" s="2">
        <v>1.4575925925925926</v>
      </c>
      <c r="K4" t="s">
        <v>267</v>
      </c>
    </row>
    <row r="5" spans="1:11" x14ac:dyDescent="0.3">
      <c r="A5" t="s">
        <v>167</v>
      </c>
      <c r="B5" t="s">
        <v>177</v>
      </c>
      <c r="C5">
        <v>3</v>
      </c>
      <c r="D5" s="8" t="s">
        <v>218</v>
      </c>
      <c r="E5" s="24" t="s">
        <v>269</v>
      </c>
      <c r="F5" t="s">
        <v>171</v>
      </c>
      <c r="G5" s="64" t="s">
        <v>266</v>
      </c>
      <c r="H5" t="s">
        <v>170</v>
      </c>
      <c r="I5">
        <v>131</v>
      </c>
      <c r="J5" s="2">
        <v>1.4568981481481482</v>
      </c>
      <c r="K5" t="s">
        <v>267</v>
      </c>
    </row>
    <row r="6" spans="1:11" x14ac:dyDescent="0.3">
      <c r="A6" t="s">
        <v>167</v>
      </c>
      <c r="B6" t="s">
        <v>182</v>
      </c>
      <c r="C6">
        <v>3</v>
      </c>
      <c r="D6" s="8" t="s">
        <v>218</v>
      </c>
      <c r="E6" s="24" t="s">
        <v>269</v>
      </c>
      <c r="F6" t="s">
        <v>234</v>
      </c>
      <c r="G6" s="64" t="s">
        <v>266</v>
      </c>
      <c r="H6" t="s">
        <v>170</v>
      </c>
      <c r="I6">
        <v>131</v>
      </c>
      <c r="J6" s="2">
        <v>1.4565046296296296</v>
      </c>
      <c r="K6" t="s">
        <v>267</v>
      </c>
    </row>
    <row r="7" spans="1:11" x14ac:dyDescent="0.3">
      <c r="A7" t="s">
        <v>167</v>
      </c>
      <c r="B7" t="s">
        <v>75</v>
      </c>
      <c r="C7">
        <v>3</v>
      </c>
      <c r="D7" s="8" t="s">
        <v>218</v>
      </c>
      <c r="E7" s="24" t="s">
        <v>269</v>
      </c>
      <c r="F7" t="s">
        <v>270</v>
      </c>
      <c r="G7" s="64" t="s">
        <v>266</v>
      </c>
      <c r="H7" t="s">
        <v>170</v>
      </c>
      <c r="I7">
        <v>131</v>
      </c>
      <c r="J7" s="2">
        <v>1.4567592592592593</v>
      </c>
      <c r="K7" t="s">
        <v>267</v>
      </c>
    </row>
    <row r="8" spans="1:11" x14ac:dyDescent="0.3">
      <c r="A8" t="s">
        <v>167</v>
      </c>
      <c r="B8" t="s">
        <v>75</v>
      </c>
      <c r="C8">
        <v>3</v>
      </c>
      <c r="D8" s="8" t="s">
        <v>218</v>
      </c>
      <c r="E8" s="24" t="s">
        <v>269</v>
      </c>
      <c r="F8" t="s">
        <v>271</v>
      </c>
      <c r="G8" s="64" t="s">
        <v>266</v>
      </c>
      <c r="H8" t="s">
        <v>170</v>
      </c>
      <c r="I8">
        <v>131</v>
      </c>
      <c r="J8" s="2">
        <v>1.4567824074074074</v>
      </c>
      <c r="K8" t="s">
        <v>267</v>
      </c>
    </row>
    <row r="9" spans="1:11" x14ac:dyDescent="0.3">
      <c r="A9" t="s">
        <v>167</v>
      </c>
      <c r="B9" t="s">
        <v>75</v>
      </c>
      <c r="C9">
        <v>3</v>
      </c>
      <c r="D9" s="8" t="s">
        <v>218</v>
      </c>
      <c r="E9" s="24" t="s">
        <v>269</v>
      </c>
      <c r="F9" t="s">
        <v>169</v>
      </c>
      <c r="G9" s="64" t="s">
        <v>266</v>
      </c>
      <c r="H9" t="s">
        <v>170</v>
      </c>
      <c r="I9">
        <v>131</v>
      </c>
      <c r="J9" s="2">
        <v>1.4566782407407408</v>
      </c>
      <c r="K9" t="s">
        <v>267</v>
      </c>
    </row>
    <row r="10" spans="1:11" x14ac:dyDescent="0.3">
      <c r="A10" t="s">
        <v>167</v>
      </c>
      <c r="B10" t="s">
        <v>182</v>
      </c>
      <c r="C10">
        <v>2</v>
      </c>
      <c r="D10" s="8" t="s">
        <v>218</v>
      </c>
      <c r="E10" s="24" t="s">
        <v>268</v>
      </c>
      <c r="F10" t="s">
        <v>184</v>
      </c>
      <c r="G10" s="64" t="s">
        <v>266</v>
      </c>
      <c r="H10" t="s">
        <v>185</v>
      </c>
      <c r="I10">
        <v>131</v>
      </c>
      <c r="J10" s="2">
        <v>1.4557291666666667</v>
      </c>
      <c r="K10" t="s">
        <v>267</v>
      </c>
    </row>
    <row r="11" spans="1:11" x14ac:dyDescent="0.3">
      <c r="A11" t="s">
        <v>167</v>
      </c>
      <c r="B11" t="s">
        <v>177</v>
      </c>
      <c r="C11">
        <v>2</v>
      </c>
      <c r="D11" s="8" t="s">
        <v>218</v>
      </c>
      <c r="E11" s="24" t="s">
        <v>267</v>
      </c>
      <c r="F11" t="s">
        <v>184</v>
      </c>
      <c r="G11" s="64" t="s">
        <v>266</v>
      </c>
      <c r="H11" t="s">
        <v>185</v>
      </c>
      <c r="I11">
        <v>131</v>
      </c>
      <c r="J11" s="2">
        <v>1.4555208333333334</v>
      </c>
      <c r="K11" t="s">
        <v>267</v>
      </c>
    </row>
    <row r="12" spans="1:11" x14ac:dyDescent="0.3">
      <c r="A12" t="s">
        <v>167</v>
      </c>
      <c r="B12" t="s">
        <v>75</v>
      </c>
      <c r="C12">
        <v>2</v>
      </c>
      <c r="D12" s="8" t="s">
        <v>218</v>
      </c>
      <c r="E12" s="24" t="s">
        <v>267</v>
      </c>
      <c r="F12" t="s">
        <v>184</v>
      </c>
      <c r="G12" s="64" t="s">
        <v>266</v>
      </c>
      <c r="H12" t="s">
        <v>185</v>
      </c>
      <c r="I12">
        <v>131</v>
      </c>
      <c r="J12" s="2">
        <v>1.4550810185185186</v>
      </c>
      <c r="K12" t="s">
        <v>267</v>
      </c>
    </row>
    <row r="13" spans="1:11" x14ac:dyDescent="0.3">
      <c r="A13" t="s">
        <v>172</v>
      </c>
      <c r="B13" t="s">
        <v>173</v>
      </c>
      <c r="C13">
        <v>0</v>
      </c>
      <c r="D13" s="8" t="s">
        <v>218</v>
      </c>
      <c r="E13" s="24" t="s">
        <v>265</v>
      </c>
      <c r="F13" t="s">
        <v>172</v>
      </c>
      <c r="G13" s="64" t="s">
        <v>264</v>
      </c>
      <c r="H13" t="s">
        <v>172</v>
      </c>
      <c r="I13">
        <v>130</v>
      </c>
      <c r="J13" s="2">
        <v>1.4513888888888888</v>
      </c>
      <c r="K13" t="s">
        <v>265</v>
      </c>
    </row>
    <row r="14" spans="1:11" x14ac:dyDescent="0.3">
      <c r="A14" t="s">
        <v>172</v>
      </c>
      <c r="B14" t="s">
        <v>173</v>
      </c>
      <c r="C14">
        <v>0</v>
      </c>
      <c r="D14" s="8" t="s">
        <v>218</v>
      </c>
      <c r="E14" s="24" t="s">
        <v>263</v>
      </c>
      <c r="F14" t="s">
        <v>172</v>
      </c>
      <c r="G14" s="64" t="s">
        <v>262</v>
      </c>
      <c r="H14" t="s">
        <v>172</v>
      </c>
      <c r="I14">
        <v>129</v>
      </c>
      <c r="J14" s="2">
        <v>1.4479166666666667</v>
      </c>
      <c r="K14" t="s">
        <v>263</v>
      </c>
    </row>
    <row r="15" spans="1:11" x14ac:dyDescent="0.3">
      <c r="A15" t="s">
        <v>172</v>
      </c>
      <c r="B15" t="s">
        <v>173</v>
      </c>
      <c r="C15">
        <v>0</v>
      </c>
      <c r="D15" s="8" t="s">
        <v>218</v>
      </c>
      <c r="E15" s="24" t="s">
        <v>261</v>
      </c>
      <c r="F15" t="s">
        <v>172</v>
      </c>
      <c r="G15" s="64" t="s">
        <v>260</v>
      </c>
      <c r="H15" t="s">
        <v>172</v>
      </c>
      <c r="I15">
        <v>128</v>
      </c>
      <c r="J15" s="2">
        <v>1.4444444444444444</v>
      </c>
      <c r="K15" t="s">
        <v>261</v>
      </c>
    </row>
    <row r="16" spans="1:11" x14ac:dyDescent="0.3">
      <c r="A16" t="s">
        <v>172</v>
      </c>
      <c r="B16" t="s">
        <v>173</v>
      </c>
      <c r="C16">
        <v>0</v>
      </c>
      <c r="D16" s="8" t="s">
        <v>218</v>
      </c>
      <c r="E16" s="24" t="s">
        <v>259</v>
      </c>
      <c r="F16" t="s">
        <v>172</v>
      </c>
      <c r="G16" s="64" t="s">
        <v>258</v>
      </c>
      <c r="H16" t="s">
        <v>172</v>
      </c>
      <c r="I16">
        <v>127</v>
      </c>
      <c r="J16" s="2">
        <v>1.4409722222222223</v>
      </c>
      <c r="K16" t="s">
        <v>259</v>
      </c>
    </row>
    <row r="17" spans="1:11" x14ac:dyDescent="0.3">
      <c r="A17" t="s">
        <v>172</v>
      </c>
      <c r="B17" t="s">
        <v>173</v>
      </c>
      <c r="C17">
        <v>0</v>
      </c>
      <c r="D17" s="8" t="s">
        <v>218</v>
      </c>
      <c r="E17" s="24" t="s">
        <v>257</v>
      </c>
      <c r="F17" t="s">
        <v>172</v>
      </c>
      <c r="G17" s="64" t="s">
        <v>256</v>
      </c>
      <c r="H17" t="s">
        <v>172</v>
      </c>
      <c r="I17">
        <v>126</v>
      </c>
      <c r="J17" s="2">
        <v>1.4375</v>
      </c>
      <c r="K17" t="s">
        <v>257</v>
      </c>
    </row>
    <row r="18" spans="1:11" x14ac:dyDescent="0.3">
      <c r="A18" t="s">
        <v>172</v>
      </c>
      <c r="B18" t="s">
        <v>173</v>
      </c>
      <c r="C18">
        <v>0</v>
      </c>
      <c r="D18" s="8" t="s">
        <v>218</v>
      </c>
      <c r="E18" s="24" t="s">
        <v>255</v>
      </c>
      <c r="F18" t="s">
        <v>172</v>
      </c>
      <c r="G18" s="64" t="s">
        <v>254</v>
      </c>
      <c r="H18" t="s">
        <v>172</v>
      </c>
      <c r="I18">
        <v>125</v>
      </c>
      <c r="J18" s="2">
        <v>1.4340277777777777</v>
      </c>
      <c r="K18" t="s">
        <v>255</v>
      </c>
    </row>
    <row r="19" spans="1:11" x14ac:dyDescent="0.3">
      <c r="A19" t="s">
        <v>172</v>
      </c>
      <c r="B19" t="s">
        <v>173</v>
      </c>
      <c r="C19">
        <v>0</v>
      </c>
      <c r="D19" s="8" t="s">
        <v>218</v>
      </c>
      <c r="E19" s="24" t="s">
        <v>253</v>
      </c>
      <c r="F19" t="s">
        <v>172</v>
      </c>
      <c r="G19" s="64" t="s">
        <v>252</v>
      </c>
      <c r="H19" t="s">
        <v>172</v>
      </c>
      <c r="I19">
        <v>124</v>
      </c>
      <c r="J19" s="2">
        <v>1.4305555555555556</v>
      </c>
      <c r="K19" t="s">
        <v>253</v>
      </c>
    </row>
    <row r="20" spans="1:11" x14ac:dyDescent="0.3">
      <c r="A20" t="s">
        <v>167</v>
      </c>
      <c r="B20" t="s">
        <v>182</v>
      </c>
      <c r="C20">
        <v>3</v>
      </c>
      <c r="D20" s="8" t="s">
        <v>218</v>
      </c>
      <c r="E20" s="24" t="s">
        <v>249</v>
      </c>
      <c r="F20" t="s">
        <v>189</v>
      </c>
      <c r="G20" s="64" t="s">
        <v>241</v>
      </c>
      <c r="H20" t="s">
        <v>170</v>
      </c>
      <c r="I20">
        <v>123</v>
      </c>
      <c r="J20" s="2">
        <v>1.4294097222222222</v>
      </c>
      <c r="K20" t="s">
        <v>243</v>
      </c>
    </row>
    <row r="21" spans="1:11" x14ac:dyDescent="0.3">
      <c r="A21" t="s">
        <v>167</v>
      </c>
      <c r="B21" t="s">
        <v>182</v>
      </c>
      <c r="C21">
        <v>3</v>
      </c>
      <c r="D21" s="8" t="s">
        <v>218</v>
      </c>
      <c r="E21" s="24" t="s">
        <v>249</v>
      </c>
      <c r="F21" t="s">
        <v>188</v>
      </c>
      <c r="G21" s="64" t="s">
        <v>241</v>
      </c>
      <c r="H21" t="s">
        <v>170</v>
      </c>
      <c r="I21">
        <v>123</v>
      </c>
      <c r="J21" s="2">
        <v>1.4292013888888888</v>
      </c>
      <c r="K21" t="s">
        <v>243</v>
      </c>
    </row>
    <row r="22" spans="1:11" x14ac:dyDescent="0.3">
      <c r="A22" t="s">
        <v>167</v>
      </c>
      <c r="B22" t="s">
        <v>177</v>
      </c>
      <c r="C22">
        <v>3</v>
      </c>
      <c r="D22" s="8" t="s">
        <v>218</v>
      </c>
      <c r="E22" s="24" t="s">
        <v>245</v>
      </c>
      <c r="F22" t="s">
        <v>247</v>
      </c>
      <c r="G22" s="64" t="s">
        <v>241</v>
      </c>
      <c r="H22" t="s">
        <v>170</v>
      </c>
      <c r="I22">
        <v>123</v>
      </c>
      <c r="J22" s="2">
        <v>1.4290277777777778</v>
      </c>
      <c r="K22" t="s">
        <v>243</v>
      </c>
    </row>
    <row r="23" spans="1:11" x14ac:dyDescent="0.3">
      <c r="A23" t="s">
        <v>167</v>
      </c>
      <c r="B23" t="s">
        <v>177</v>
      </c>
      <c r="C23">
        <v>3</v>
      </c>
      <c r="D23" s="8" t="s">
        <v>218</v>
      </c>
      <c r="E23" s="24" t="s">
        <v>245</v>
      </c>
      <c r="F23" t="s">
        <v>248</v>
      </c>
      <c r="G23" s="64" t="s">
        <v>241</v>
      </c>
      <c r="H23" t="s">
        <v>170</v>
      </c>
      <c r="I23">
        <v>123</v>
      </c>
      <c r="J23" s="2">
        <v>1.4289351851851853</v>
      </c>
      <c r="K23" t="s">
        <v>243</v>
      </c>
    </row>
    <row r="24" spans="1:11" x14ac:dyDescent="0.3">
      <c r="A24" t="s">
        <v>167</v>
      </c>
      <c r="B24" t="s">
        <v>177</v>
      </c>
      <c r="C24">
        <v>3</v>
      </c>
      <c r="D24" s="8" t="s">
        <v>218</v>
      </c>
      <c r="E24" s="24" t="s">
        <v>245</v>
      </c>
      <c r="F24" t="s">
        <v>244</v>
      </c>
      <c r="G24" s="64" t="s">
        <v>241</v>
      </c>
      <c r="H24" t="s">
        <v>170</v>
      </c>
      <c r="I24">
        <v>123</v>
      </c>
      <c r="J24" s="2">
        <v>1.4289814814814814</v>
      </c>
      <c r="K24" t="s">
        <v>243</v>
      </c>
    </row>
    <row r="25" spans="1:11" x14ac:dyDescent="0.3">
      <c r="A25" t="s">
        <v>167</v>
      </c>
      <c r="B25" t="s">
        <v>177</v>
      </c>
      <c r="C25">
        <v>3</v>
      </c>
      <c r="D25" s="8" t="s">
        <v>218</v>
      </c>
      <c r="E25" s="24" t="s">
        <v>245</v>
      </c>
      <c r="F25" t="s">
        <v>246</v>
      </c>
      <c r="G25" s="64" t="s">
        <v>241</v>
      </c>
      <c r="H25" t="s">
        <v>170</v>
      </c>
      <c r="I25">
        <v>123</v>
      </c>
      <c r="J25" s="2">
        <v>1.4285069444444445</v>
      </c>
      <c r="K25" t="s">
        <v>243</v>
      </c>
    </row>
    <row r="26" spans="1:11" x14ac:dyDescent="0.3">
      <c r="A26" t="s">
        <v>167</v>
      </c>
      <c r="B26" t="s">
        <v>182</v>
      </c>
      <c r="C26">
        <v>2</v>
      </c>
      <c r="D26" s="8" t="s">
        <v>218</v>
      </c>
      <c r="E26" s="24" t="s">
        <v>245</v>
      </c>
      <c r="F26" t="s">
        <v>184</v>
      </c>
      <c r="G26" s="64" t="s">
        <v>241</v>
      </c>
      <c r="H26" t="s">
        <v>185</v>
      </c>
      <c r="I26">
        <v>123</v>
      </c>
      <c r="J26" s="2">
        <v>1.4285763888888889</v>
      </c>
      <c r="K26" t="s">
        <v>243</v>
      </c>
    </row>
    <row r="27" spans="1:11" x14ac:dyDescent="0.3">
      <c r="A27" t="s">
        <v>167</v>
      </c>
      <c r="B27" t="s">
        <v>177</v>
      </c>
      <c r="C27">
        <v>1</v>
      </c>
      <c r="D27" s="8" t="s">
        <v>218</v>
      </c>
      <c r="E27" s="24" t="s">
        <v>242</v>
      </c>
      <c r="F27" t="s">
        <v>180</v>
      </c>
      <c r="G27" s="64" t="s">
        <v>241</v>
      </c>
      <c r="H27" t="s">
        <v>181</v>
      </c>
      <c r="I27">
        <v>123</v>
      </c>
      <c r="J27" s="2">
        <v>1.4281828703703705</v>
      </c>
      <c r="K27" t="s">
        <v>243</v>
      </c>
    </row>
    <row r="28" spans="1:11" x14ac:dyDescent="0.3">
      <c r="A28" t="s">
        <v>167</v>
      </c>
      <c r="B28" t="s">
        <v>177</v>
      </c>
      <c r="C28">
        <v>2</v>
      </c>
      <c r="D28" s="8" t="s">
        <v>218</v>
      </c>
      <c r="E28" s="24" t="s">
        <v>242</v>
      </c>
      <c r="F28" t="s">
        <v>184</v>
      </c>
      <c r="G28" s="64" t="s">
        <v>241</v>
      </c>
      <c r="H28" t="s">
        <v>185</v>
      </c>
      <c r="I28">
        <v>123</v>
      </c>
      <c r="J28" s="2">
        <v>1.4281481481481482</v>
      </c>
      <c r="K28" t="s">
        <v>243</v>
      </c>
    </row>
    <row r="29" spans="1:11" x14ac:dyDescent="0.3">
      <c r="A29" t="s">
        <v>167</v>
      </c>
      <c r="B29" t="s">
        <v>177</v>
      </c>
      <c r="C29">
        <v>3</v>
      </c>
      <c r="D29" s="8" t="s">
        <v>218</v>
      </c>
      <c r="E29" s="24" t="s">
        <v>243</v>
      </c>
      <c r="F29" t="s">
        <v>244</v>
      </c>
      <c r="G29" s="64" t="s">
        <v>241</v>
      </c>
      <c r="H29" t="s">
        <v>170</v>
      </c>
      <c r="I29">
        <v>123</v>
      </c>
      <c r="J29" s="2">
        <v>1.427337962962963</v>
      </c>
      <c r="K29" t="s">
        <v>243</v>
      </c>
    </row>
    <row r="30" spans="1:11" x14ac:dyDescent="0.3">
      <c r="A30" t="s">
        <v>167</v>
      </c>
      <c r="B30" t="s">
        <v>177</v>
      </c>
      <c r="C30">
        <v>15</v>
      </c>
      <c r="D30" s="8" t="s">
        <v>218</v>
      </c>
      <c r="E30" s="24" t="s">
        <v>243</v>
      </c>
      <c r="F30" t="s">
        <v>186</v>
      </c>
      <c r="G30" s="64" t="s">
        <v>241</v>
      </c>
      <c r="H30" t="s">
        <v>187</v>
      </c>
      <c r="I30">
        <v>123</v>
      </c>
      <c r="J30" s="2">
        <v>1.4274189814814815</v>
      </c>
      <c r="K30" t="s">
        <v>243</v>
      </c>
    </row>
    <row r="31" spans="1:11" x14ac:dyDescent="0.3">
      <c r="A31" t="s">
        <v>167</v>
      </c>
      <c r="B31" t="s">
        <v>177</v>
      </c>
      <c r="C31">
        <v>3</v>
      </c>
      <c r="D31" s="8" t="s">
        <v>218</v>
      </c>
      <c r="E31" s="24" t="s">
        <v>239</v>
      </c>
      <c r="F31" t="s">
        <v>171</v>
      </c>
      <c r="G31" s="64" t="s">
        <v>238</v>
      </c>
      <c r="H31" t="s">
        <v>170</v>
      </c>
      <c r="I31">
        <v>122</v>
      </c>
      <c r="J31" s="2">
        <v>1.4269328703703703</v>
      </c>
      <c r="K31" t="s">
        <v>240</v>
      </c>
    </row>
    <row r="32" spans="1:11" x14ac:dyDescent="0.3">
      <c r="A32" t="s">
        <v>172</v>
      </c>
      <c r="B32" t="s">
        <v>173</v>
      </c>
      <c r="C32">
        <v>0</v>
      </c>
      <c r="D32" s="8" t="s">
        <v>218</v>
      </c>
      <c r="E32" s="24" t="s">
        <v>237</v>
      </c>
      <c r="F32" t="s">
        <v>172</v>
      </c>
      <c r="G32" s="64" t="s">
        <v>236</v>
      </c>
      <c r="H32" t="s">
        <v>172</v>
      </c>
      <c r="I32">
        <v>121</v>
      </c>
      <c r="J32" s="2">
        <v>1.4201388888888888</v>
      </c>
      <c r="K32" t="s">
        <v>237</v>
      </c>
    </row>
    <row r="33" spans="1:11" x14ac:dyDescent="0.3">
      <c r="A33" t="s">
        <v>167</v>
      </c>
      <c r="B33" t="s">
        <v>177</v>
      </c>
      <c r="C33">
        <v>2</v>
      </c>
      <c r="D33" s="8" t="s">
        <v>218</v>
      </c>
      <c r="E33" s="24" t="s">
        <v>235</v>
      </c>
      <c r="F33" t="s">
        <v>184</v>
      </c>
      <c r="G33" s="64" t="s">
        <v>231</v>
      </c>
      <c r="H33" t="s">
        <v>185</v>
      </c>
      <c r="I33">
        <v>120</v>
      </c>
      <c r="J33" s="2">
        <v>1.4193865740740741</v>
      </c>
      <c r="K33" t="s">
        <v>233</v>
      </c>
    </row>
    <row r="34" spans="1:11" x14ac:dyDescent="0.3">
      <c r="A34" t="s">
        <v>167</v>
      </c>
      <c r="B34" t="s">
        <v>177</v>
      </c>
      <c r="C34">
        <v>15</v>
      </c>
      <c r="D34" s="8" t="s">
        <v>218</v>
      </c>
      <c r="E34" s="24" t="s">
        <v>232</v>
      </c>
      <c r="F34" t="s">
        <v>186</v>
      </c>
      <c r="G34" s="64" t="s">
        <v>231</v>
      </c>
      <c r="H34" t="s">
        <v>187</v>
      </c>
      <c r="I34">
        <v>120</v>
      </c>
      <c r="J34" s="2">
        <v>1.4186458333333334</v>
      </c>
      <c r="K34" t="s">
        <v>233</v>
      </c>
    </row>
    <row r="35" spans="1:11" x14ac:dyDescent="0.3">
      <c r="A35" t="s">
        <v>167</v>
      </c>
      <c r="B35" t="s">
        <v>182</v>
      </c>
      <c r="C35">
        <v>2</v>
      </c>
      <c r="D35" s="8" t="s">
        <v>218</v>
      </c>
      <c r="E35" s="24" t="s">
        <v>232</v>
      </c>
      <c r="F35" t="s">
        <v>184</v>
      </c>
      <c r="G35" s="64" t="s">
        <v>231</v>
      </c>
      <c r="H35" t="s">
        <v>185</v>
      </c>
      <c r="I35">
        <v>120</v>
      </c>
      <c r="J35" s="2">
        <v>1.4184027777777777</v>
      </c>
      <c r="K35" t="s">
        <v>233</v>
      </c>
    </row>
    <row r="36" spans="1:11" x14ac:dyDescent="0.3">
      <c r="A36" t="s">
        <v>167</v>
      </c>
      <c r="B36" t="s">
        <v>182</v>
      </c>
      <c r="C36">
        <v>3</v>
      </c>
      <c r="D36" s="8" t="s">
        <v>218</v>
      </c>
      <c r="E36" s="24" t="s">
        <v>232</v>
      </c>
      <c r="F36" t="s">
        <v>234</v>
      </c>
      <c r="G36" s="64" t="s">
        <v>231</v>
      </c>
      <c r="H36" t="s">
        <v>170</v>
      </c>
      <c r="I36">
        <v>120</v>
      </c>
      <c r="J36" s="2">
        <v>1.4182407407407407</v>
      </c>
      <c r="K36" t="s">
        <v>233</v>
      </c>
    </row>
    <row r="37" spans="1:11" x14ac:dyDescent="0.3">
      <c r="A37" t="s">
        <v>167</v>
      </c>
      <c r="B37" t="s">
        <v>182</v>
      </c>
      <c r="C37">
        <v>15</v>
      </c>
      <c r="D37" s="8" t="s">
        <v>218</v>
      </c>
      <c r="E37" s="24" t="s">
        <v>232</v>
      </c>
      <c r="F37" t="s">
        <v>186</v>
      </c>
      <c r="G37" s="64" t="s">
        <v>231</v>
      </c>
      <c r="H37" t="s">
        <v>187</v>
      </c>
      <c r="I37">
        <v>120</v>
      </c>
      <c r="J37" s="2">
        <v>1.4183796296296296</v>
      </c>
      <c r="K37" t="s">
        <v>233</v>
      </c>
    </row>
    <row r="38" spans="1:11" x14ac:dyDescent="0.3">
      <c r="A38" t="s">
        <v>167</v>
      </c>
      <c r="B38" t="s">
        <v>182</v>
      </c>
      <c r="C38">
        <v>15</v>
      </c>
      <c r="D38" s="8" t="s">
        <v>218</v>
      </c>
      <c r="E38" s="24" t="s">
        <v>232</v>
      </c>
      <c r="F38" t="s">
        <v>186</v>
      </c>
      <c r="G38" s="64" t="s">
        <v>231</v>
      </c>
      <c r="H38" t="s">
        <v>187</v>
      </c>
      <c r="I38">
        <v>120</v>
      </c>
      <c r="J38" s="2">
        <v>1.4186921296296298</v>
      </c>
      <c r="K38" t="s">
        <v>233</v>
      </c>
    </row>
    <row r="39" spans="1:11" x14ac:dyDescent="0.3">
      <c r="A39" t="s">
        <v>167</v>
      </c>
      <c r="B39" t="s">
        <v>177</v>
      </c>
      <c r="C39">
        <v>3</v>
      </c>
      <c r="D39" s="8" t="s">
        <v>218</v>
      </c>
      <c r="E39" s="24" t="s">
        <v>229</v>
      </c>
      <c r="F39" t="s">
        <v>171</v>
      </c>
      <c r="G39" s="64" t="s">
        <v>228</v>
      </c>
      <c r="H39" t="s">
        <v>170</v>
      </c>
      <c r="I39">
        <v>119</v>
      </c>
      <c r="J39" s="2">
        <v>1.4162268518518519</v>
      </c>
      <c r="K39" t="s">
        <v>230</v>
      </c>
    </row>
    <row r="40" spans="1:11" x14ac:dyDescent="0.3">
      <c r="A40" t="s">
        <v>167</v>
      </c>
      <c r="B40" t="s">
        <v>75</v>
      </c>
      <c r="C40">
        <v>3</v>
      </c>
      <c r="D40" s="8" t="s">
        <v>218</v>
      </c>
      <c r="E40" s="24" t="s">
        <v>229</v>
      </c>
      <c r="F40" t="s">
        <v>183</v>
      </c>
      <c r="G40" s="64" t="s">
        <v>228</v>
      </c>
      <c r="H40" t="s">
        <v>170</v>
      </c>
      <c r="I40">
        <v>119</v>
      </c>
      <c r="J40" s="2">
        <v>1.4164930555555555</v>
      </c>
      <c r="K40" t="s">
        <v>230</v>
      </c>
    </row>
    <row r="41" spans="1:11" x14ac:dyDescent="0.3">
      <c r="A41" t="s">
        <v>167</v>
      </c>
      <c r="B41" t="s">
        <v>182</v>
      </c>
      <c r="C41">
        <v>2</v>
      </c>
      <c r="D41" s="8" t="s">
        <v>218</v>
      </c>
      <c r="E41" s="24" t="s">
        <v>227</v>
      </c>
      <c r="F41" t="s">
        <v>184</v>
      </c>
      <c r="G41" s="64" t="s">
        <v>225</v>
      </c>
      <c r="H41" t="s">
        <v>185</v>
      </c>
      <c r="I41">
        <v>118</v>
      </c>
      <c r="J41" s="2">
        <v>1.4107175925925926</v>
      </c>
      <c r="K41" t="s">
        <v>226</v>
      </c>
    </row>
    <row r="42" spans="1:11" x14ac:dyDescent="0.3">
      <c r="A42" t="s">
        <v>167</v>
      </c>
      <c r="B42" t="s">
        <v>177</v>
      </c>
      <c r="C42">
        <v>2</v>
      </c>
      <c r="D42" s="8" t="s">
        <v>218</v>
      </c>
      <c r="E42" s="24" t="s">
        <v>226</v>
      </c>
      <c r="F42" t="s">
        <v>184</v>
      </c>
      <c r="G42" s="64" t="s">
        <v>225</v>
      </c>
      <c r="H42" t="s">
        <v>185</v>
      </c>
      <c r="I42">
        <v>118</v>
      </c>
      <c r="J42" s="2">
        <v>1.4103819444444445</v>
      </c>
      <c r="K42" t="s">
        <v>226</v>
      </c>
    </row>
    <row r="43" spans="1:11" x14ac:dyDescent="0.3">
      <c r="A43" t="s">
        <v>167</v>
      </c>
      <c r="B43" t="s">
        <v>75</v>
      </c>
      <c r="C43">
        <v>1</v>
      </c>
      <c r="D43" s="8" t="s">
        <v>218</v>
      </c>
      <c r="E43" s="24" t="s">
        <v>226</v>
      </c>
      <c r="F43" t="s">
        <v>180</v>
      </c>
      <c r="G43" s="64" t="s">
        <v>225</v>
      </c>
      <c r="H43" t="s">
        <v>181</v>
      </c>
      <c r="I43">
        <v>118</v>
      </c>
      <c r="J43" s="2">
        <v>1.4097222222222223</v>
      </c>
      <c r="K43" t="s">
        <v>226</v>
      </c>
    </row>
    <row r="44" spans="1:11" x14ac:dyDescent="0.3">
      <c r="A44" t="s">
        <v>167</v>
      </c>
      <c r="B44" t="s">
        <v>75</v>
      </c>
      <c r="C44">
        <v>3</v>
      </c>
      <c r="D44" s="8" t="s">
        <v>218</v>
      </c>
      <c r="E44" s="24" t="s">
        <v>223</v>
      </c>
      <c r="F44" t="s">
        <v>178</v>
      </c>
      <c r="G44" s="64" t="s">
        <v>222</v>
      </c>
      <c r="H44" t="s">
        <v>170</v>
      </c>
      <c r="I44">
        <v>117</v>
      </c>
      <c r="J44" s="2">
        <v>1.4092939814814816</v>
      </c>
      <c r="K44" t="s">
        <v>224</v>
      </c>
    </row>
    <row r="45" spans="1:11" x14ac:dyDescent="0.3">
      <c r="A45" t="s">
        <v>167</v>
      </c>
      <c r="B45" t="s">
        <v>75</v>
      </c>
      <c r="C45">
        <v>3</v>
      </c>
      <c r="D45" s="8" t="s">
        <v>218</v>
      </c>
      <c r="E45" s="24" t="s">
        <v>223</v>
      </c>
      <c r="F45" t="s">
        <v>179</v>
      </c>
      <c r="G45" s="64" t="s">
        <v>222</v>
      </c>
      <c r="H45" t="s">
        <v>170</v>
      </c>
      <c r="I45">
        <v>117</v>
      </c>
      <c r="J45" s="2">
        <v>1.4094212962962964</v>
      </c>
      <c r="K45" t="s">
        <v>224</v>
      </c>
    </row>
    <row r="46" spans="1:11" x14ac:dyDescent="0.3">
      <c r="A46" t="s">
        <v>172</v>
      </c>
      <c r="B46" t="s">
        <v>173</v>
      </c>
      <c r="C46">
        <v>0</v>
      </c>
      <c r="D46" s="8" t="s">
        <v>218</v>
      </c>
      <c r="E46" s="24" t="s">
        <v>221</v>
      </c>
      <c r="F46" t="s">
        <v>172</v>
      </c>
      <c r="G46" s="64" t="s">
        <v>220</v>
      </c>
      <c r="H46" t="s">
        <v>172</v>
      </c>
      <c r="I46">
        <v>116</v>
      </c>
      <c r="J46" s="2">
        <v>1.4027777777777777</v>
      </c>
      <c r="K46" t="s">
        <v>221</v>
      </c>
    </row>
    <row r="47" spans="1:11" x14ac:dyDescent="0.3">
      <c r="A47" t="s">
        <v>167</v>
      </c>
      <c r="B47" t="s">
        <v>75</v>
      </c>
      <c r="C47">
        <v>2</v>
      </c>
      <c r="D47" s="8" t="s">
        <v>218</v>
      </c>
      <c r="E47" s="24" t="s">
        <v>219</v>
      </c>
      <c r="F47" t="s">
        <v>184</v>
      </c>
      <c r="G47" s="64" t="s">
        <v>217</v>
      </c>
      <c r="H47" t="s">
        <v>185</v>
      </c>
      <c r="I47">
        <v>115</v>
      </c>
      <c r="J47" s="2">
        <v>1.3999652777777778</v>
      </c>
      <c r="K47" t="s">
        <v>219</v>
      </c>
    </row>
  </sheetData>
  <phoneticPr fontId="30" type="noConversion"/>
  <hyperlinks>
    <hyperlink ref="C1" location="Dashboard!A1" display="Dashboard" xr:uid="{508FB5AB-7F0D-46C3-A174-45ACB7294EB7}"/>
  </hyperlink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33EDB-C239-4ECE-9695-54A85379F9E6}">
  <sheetPr codeName="Sheet15">
    <tabColor rgb="FFFFCCCC"/>
  </sheetPr>
  <dimension ref="A1"/>
  <sheetViews>
    <sheetView showGridLines="0" zoomScaleNormal="100" workbookViewId="0">
      <selection activeCell="A2" sqref="A2"/>
    </sheetView>
  </sheetViews>
  <sheetFormatPr defaultRowHeight="14.4" x14ac:dyDescent="0.3"/>
  <cols>
    <col min="20" max="20" width="14.44140625" customWidth="1"/>
  </cols>
  <sheetData>
    <row r="1" spans="1:1" x14ac:dyDescent="0.3">
      <c r="A1" s="40" t="s">
        <v>41</v>
      </c>
    </row>
  </sheetData>
  <hyperlinks>
    <hyperlink ref="A1" location="Dashboard!A1" display="Dashboard" xr:uid="{F00BFDD4-EBF6-4268-930D-DAD53FBF4B9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F28C3-C49D-47EA-804F-7EBD1FF5559A}">
  <sheetPr codeName="Sheet16">
    <tabColor rgb="FFFF0000"/>
  </sheetPr>
  <dimension ref="A1:G28"/>
  <sheetViews>
    <sheetView showGridLines="0" workbookViewId="0"/>
  </sheetViews>
  <sheetFormatPr defaultRowHeight="14.4" x14ac:dyDescent="0.3"/>
  <cols>
    <col min="1" max="1" width="15.6640625" bestFit="1" customWidth="1"/>
    <col min="2" max="2" width="6.5546875" bestFit="1" customWidth="1"/>
    <col min="3" max="6" width="3.6640625" bestFit="1" customWidth="1"/>
    <col min="7" max="7" width="6.88671875" bestFit="1" customWidth="1"/>
    <col min="8" max="13" width="3.6640625" bestFit="1" customWidth="1"/>
    <col min="14" max="14" width="6.88671875" bestFit="1" customWidth="1"/>
    <col min="15" max="15" width="3.6640625" bestFit="1" customWidth="1"/>
    <col min="16" max="16" width="6.88671875" bestFit="1" customWidth="1"/>
    <col min="17" max="17" width="3.6640625" bestFit="1" customWidth="1"/>
    <col min="18" max="18" width="6.88671875" bestFit="1" customWidth="1"/>
    <col min="19" max="19" width="13.6640625" bestFit="1" customWidth="1"/>
    <col min="20" max="20" width="4.88671875" bestFit="1" customWidth="1"/>
    <col min="21" max="21" width="15.6640625" bestFit="1" customWidth="1"/>
    <col min="22" max="22" width="4.88671875" bestFit="1" customWidth="1"/>
    <col min="23" max="23" width="15.6640625" bestFit="1" customWidth="1"/>
    <col min="24" max="24" width="4.88671875" bestFit="1" customWidth="1"/>
    <col min="25" max="25" width="15.6640625" bestFit="1" customWidth="1"/>
    <col min="26" max="26" width="4.88671875" bestFit="1" customWidth="1"/>
    <col min="27" max="27" width="15.6640625" bestFit="1" customWidth="1"/>
    <col min="28" max="28" width="4.88671875" bestFit="1" customWidth="1"/>
    <col min="29" max="29" width="15.6640625" bestFit="1" customWidth="1"/>
    <col min="30" max="30" width="5.44140625" bestFit="1" customWidth="1"/>
    <col min="31" max="31" width="9" bestFit="1" customWidth="1"/>
  </cols>
  <sheetData>
    <row r="1" spans="1:7" x14ac:dyDescent="0.3">
      <c r="A1" s="40" t="s">
        <v>41</v>
      </c>
    </row>
    <row r="3" spans="1:7" x14ac:dyDescent="0.3">
      <c r="A3" s="29" t="s">
        <v>190</v>
      </c>
      <c r="B3" s="29" t="s">
        <v>38</v>
      </c>
    </row>
    <row r="4" spans="1:7" ht="48" customHeight="1" x14ac:dyDescent="0.3">
      <c r="A4" s="66" t="s">
        <v>39</v>
      </c>
      <c r="B4" s="67">
        <v>45574</v>
      </c>
      <c r="C4" s="67">
        <v>45575</v>
      </c>
      <c r="D4" s="67">
        <v>45576</v>
      </c>
      <c r="E4" s="67">
        <v>45577</v>
      </c>
      <c r="F4" s="67">
        <v>45579</v>
      </c>
      <c r="G4" s="50" t="s">
        <v>191</v>
      </c>
    </row>
    <row r="5" spans="1:7" x14ac:dyDescent="0.3">
      <c r="A5" s="10" t="s">
        <v>197</v>
      </c>
      <c r="B5" s="68"/>
      <c r="C5" s="68">
        <v>0</v>
      </c>
      <c r="D5" s="68">
        <v>0</v>
      </c>
      <c r="E5" s="68">
        <v>0</v>
      </c>
      <c r="F5" s="68"/>
      <c r="G5" s="68">
        <v>0</v>
      </c>
    </row>
    <row r="6" spans="1:7" x14ac:dyDescent="0.3">
      <c r="A6" s="10" t="s">
        <v>198</v>
      </c>
      <c r="B6" s="68"/>
      <c r="C6" s="68">
        <v>0</v>
      </c>
      <c r="D6" s="68">
        <v>0</v>
      </c>
      <c r="E6" s="68">
        <v>0</v>
      </c>
      <c r="F6" s="68"/>
      <c r="G6" s="68">
        <v>0</v>
      </c>
    </row>
    <row r="7" spans="1:7" x14ac:dyDescent="0.3">
      <c r="A7" s="10" t="s">
        <v>199</v>
      </c>
      <c r="B7" s="68"/>
      <c r="C7" s="68">
        <v>0</v>
      </c>
      <c r="D7" s="68">
        <v>0</v>
      </c>
      <c r="E7" s="68">
        <v>0</v>
      </c>
      <c r="F7" s="68"/>
      <c r="G7" s="68">
        <v>0</v>
      </c>
    </row>
    <row r="8" spans="1:7" x14ac:dyDescent="0.3">
      <c r="A8" s="10" t="s">
        <v>200</v>
      </c>
      <c r="B8" s="68"/>
      <c r="C8" s="68">
        <v>0</v>
      </c>
      <c r="D8" s="68">
        <v>0</v>
      </c>
      <c r="E8" s="68">
        <v>0</v>
      </c>
      <c r="F8" s="68"/>
      <c r="G8" s="68">
        <v>0</v>
      </c>
    </row>
    <row r="9" spans="1:7" x14ac:dyDescent="0.3">
      <c r="A9" s="10" t="s">
        <v>201</v>
      </c>
      <c r="B9" s="68"/>
      <c r="C9" s="68">
        <v>0</v>
      </c>
      <c r="D9" s="68">
        <v>0</v>
      </c>
      <c r="E9" s="68">
        <v>0</v>
      </c>
      <c r="F9" s="68"/>
      <c r="G9" s="68">
        <v>0</v>
      </c>
    </row>
    <row r="10" spans="1:7" x14ac:dyDescent="0.3">
      <c r="A10" s="10" t="s">
        <v>202</v>
      </c>
      <c r="B10" s="68">
        <v>0</v>
      </c>
      <c r="C10" s="68">
        <v>0</v>
      </c>
      <c r="D10" s="68">
        <v>0</v>
      </c>
      <c r="E10" s="68">
        <v>0</v>
      </c>
      <c r="F10" s="68"/>
      <c r="G10" s="68">
        <v>0</v>
      </c>
    </row>
    <row r="11" spans="1:7" x14ac:dyDescent="0.3">
      <c r="A11" s="10" t="s">
        <v>203</v>
      </c>
      <c r="B11" s="68">
        <v>0</v>
      </c>
      <c r="C11" s="68">
        <v>0</v>
      </c>
      <c r="D11" s="68">
        <v>0</v>
      </c>
      <c r="E11" s="68">
        <v>0</v>
      </c>
      <c r="F11" s="68"/>
      <c r="G11" s="68">
        <v>0</v>
      </c>
    </row>
    <row r="12" spans="1:7" x14ac:dyDescent="0.3">
      <c r="A12" s="10" t="s">
        <v>204</v>
      </c>
      <c r="B12" s="68">
        <v>1</v>
      </c>
      <c r="C12" s="68">
        <v>1</v>
      </c>
      <c r="D12" s="68">
        <v>0</v>
      </c>
      <c r="E12" s="68">
        <v>1</v>
      </c>
      <c r="F12" s="68"/>
      <c r="G12" s="68">
        <v>1</v>
      </c>
    </row>
    <row r="13" spans="1:7" x14ac:dyDescent="0.3">
      <c r="A13" s="10" t="s">
        <v>205</v>
      </c>
      <c r="B13" s="68">
        <v>2</v>
      </c>
      <c r="C13" s="68">
        <v>2</v>
      </c>
      <c r="D13" s="68">
        <v>2</v>
      </c>
      <c r="E13" s="68">
        <v>2</v>
      </c>
      <c r="F13" s="68">
        <v>0</v>
      </c>
      <c r="G13" s="68">
        <v>2</v>
      </c>
    </row>
    <row r="14" spans="1:7" x14ac:dyDescent="0.3">
      <c r="A14" s="10" t="s">
        <v>206</v>
      </c>
      <c r="B14" s="68">
        <v>4</v>
      </c>
      <c r="C14" s="68">
        <v>4</v>
      </c>
      <c r="D14" s="68">
        <v>3</v>
      </c>
      <c r="E14" s="68">
        <v>3</v>
      </c>
      <c r="F14" s="68">
        <v>1</v>
      </c>
      <c r="G14" s="68">
        <v>4</v>
      </c>
    </row>
    <row r="15" spans="1:7" x14ac:dyDescent="0.3">
      <c r="A15" s="10" t="s">
        <v>207</v>
      </c>
      <c r="B15" s="68">
        <v>4</v>
      </c>
      <c r="C15" s="68">
        <v>4</v>
      </c>
      <c r="D15" s="68">
        <v>4</v>
      </c>
      <c r="E15" s="68">
        <v>4</v>
      </c>
      <c r="F15" s="68">
        <v>3</v>
      </c>
      <c r="G15" s="68">
        <v>4</v>
      </c>
    </row>
    <row r="16" spans="1:7" x14ac:dyDescent="0.3">
      <c r="A16" s="10" t="s">
        <v>208</v>
      </c>
      <c r="B16" s="68">
        <v>5</v>
      </c>
      <c r="C16" s="68">
        <v>5</v>
      </c>
      <c r="D16" s="68">
        <v>5</v>
      </c>
      <c r="E16" s="68">
        <v>5</v>
      </c>
      <c r="F16" s="68">
        <v>3</v>
      </c>
      <c r="G16" s="68">
        <v>5</v>
      </c>
    </row>
    <row r="17" spans="1:7" x14ac:dyDescent="0.3">
      <c r="A17" s="10" t="s">
        <v>209</v>
      </c>
      <c r="B17" s="68">
        <v>5</v>
      </c>
      <c r="C17" s="68">
        <v>5</v>
      </c>
      <c r="D17" s="68">
        <v>5</v>
      </c>
      <c r="E17" s="68">
        <v>5</v>
      </c>
      <c r="F17" s="68"/>
      <c r="G17" s="68">
        <v>5</v>
      </c>
    </row>
    <row r="18" spans="1:7" x14ac:dyDescent="0.3">
      <c r="A18" s="10" t="s">
        <v>210</v>
      </c>
      <c r="B18" s="68">
        <v>6</v>
      </c>
      <c r="C18" s="68">
        <v>6</v>
      </c>
      <c r="D18" s="68">
        <v>3</v>
      </c>
      <c r="E18" s="68">
        <v>3</v>
      </c>
      <c r="F18" s="68"/>
      <c r="G18" s="68">
        <v>6</v>
      </c>
    </row>
    <row r="19" spans="1:7" x14ac:dyDescent="0.3">
      <c r="A19" s="10" t="s">
        <v>211</v>
      </c>
      <c r="B19" s="68">
        <v>6</v>
      </c>
      <c r="C19" s="68">
        <v>6</v>
      </c>
      <c r="D19" s="68">
        <v>3</v>
      </c>
      <c r="E19" s="68">
        <v>3</v>
      </c>
      <c r="F19" s="68"/>
      <c r="G19" s="68">
        <v>6</v>
      </c>
    </row>
    <row r="20" spans="1:7" x14ac:dyDescent="0.3">
      <c r="A20" s="10" t="s">
        <v>212</v>
      </c>
      <c r="B20" s="68">
        <v>7</v>
      </c>
      <c r="C20" s="68">
        <v>7</v>
      </c>
      <c r="D20" s="68">
        <v>4</v>
      </c>
      <c r="E20" s="68">
        <v>4</v>
      </c>
      <c r="F20" s="68"/>
      <c r="G20" s="68">
        <v>7</v>
      </c>
    </row>
    <row r="21" spans="1:7" x14ac:dyDescent="0.3">
      <c r="A21" s="10" t="s">
        <v>213</v>
      </c>
      <c r="B21" s="68">
        <v>6</v>
      </c>
      <c r="C21" s="68">
        <v>6</v>
      </c>
      <c r="D21" s="68">
        <v>6</v>
      </c>
      <c r="E21" s="68">
        <v>6</v>
      </c>
      <c r="F21" s="68"/>
      <c r="G21" s="68">
        <v>6</v>
      </c>
    </row>
    <row r="22" spans="1:7" x14ac:dyDescent="0.3">
      <c r="A22" s="10" t="s">
        <v>174</v>
      </c>
      <c r="B22" s="68">
        <v>5</v>
      </c>
      <c r="C22" s="68">
        <v>5</v>
      </c>
      <c r="D22" s="68">
        <v>5</v>
      </c>
      <c r="E22" s="68">
        <v>1</v>
      </c>
      <c r="F22" s="68"/>
      <c r="G22" s="68">
        <v>5</v>
      </c>
    </row>
    <row r="23" spans="1:7" x14ac:dyDescent="0.3">
      <c r="A23" s="10" t="s">
        <v>175</v>
      </c>
      <c r="B23" s="68">
        <v>3</v>
      </c>
      <c r="C23" s="68">
        <v>3</v>
      </c>
      <c r="D23" s="68">
        <v>3</v>
      </c>
      <c r="E23" s="68">
        <v>1</v>
      </c>
      <c r="F23" s="68"/>
      <c r="G23" s="68">
        <v>3</v>
      </c>
    </row>
    <row r="24" spans="1:7" x14ac:dyDescent="0.3">
      <c r="A24" s="10" t="s">
        <v>192</v>
      </c>
      <c r="B24" s="68">
        <v>1</v>
      </c>
      <c r="C24" s="68">
        <v>2</v>
      </c>
      <c r="D24" s="68">
        <v>1</v>
      </c>
      <c r="E24" s="68">
        <v>0</v>
      </c>
      <c r="F24" s="68"/>
      <c r="G24" s="68">
        <v>2</v>
      </c>
    </row>
    <row r="25" spans="1:7" x14ac:dyDescent="0.3">
      <c r="A25" s="10" t="s">
        <v>193</v>
      </c>
      <c r="B25" s="68">
        <v>0</v>
      </c>
      <c r="C25" s="68">
        <v>0</v>
      </c>
      <c r="D25" s="68">
        <v>0</v>
      </c>
      <c r="E25" s="68">
        <v>1</v>
      </c>
      <c r="F25" s="68"/>
      <c r="G25" s="68">
        <v>1</v>
      </c>
    </row>
    <row r="26" spans="1:7" x14ac:dyDescent="0.3">
      <c r="A26" s="10" t="s">
        <v>194</v>
      </c>
      <c r="B26" s="68">
        <v>0</v>
      </c>
      <c r="C26" s="68">
        <v>0</v>
      </c>
      <c r="D26" s="68">
        <v>0</v>
      </c>
      <c r="E26" s="68"/>
      <c r="F26" s="68"/>
      <c r="G26" s="68">
        <v>0</v>
      </c>
    </row>
    <row r="27" spans="1:7" x14ac:dyDescent="0.3">
      <c r="A27" s="10" t="s">
        <v>195</v>
      </c>
      <c r="B27" s="68">
        <v>0</v>
      </c>
      <c r="C27" s="68">
        <v>0</v>
      </c>
      <c r="D27" s="68">
        <v>0</v>
      </c>
      <c r="E27" s="68"/>
      <c r="F27" s="68"/>
      <c r="G27" s="68">
        <v>0</v>
      </c>
    </row>
    <row r="28" spans="1:7" x14ac:dyDescent="0.3">
      <c r="A28" s="10" t="s">
        <v>196</v>
      </c>
      <c r="B28" s="68">
        <v>0</v>
      </c>
      <c r="C28" s="68">
        <v>0</v>
      </c>
      <c r="D28" s="68"/>
      <c r="E28" s="68"/>
      <c r="F28" s="68"/>
      <c r="G28" s="68">
        <v>0</v>
      </c>
    </row>
  </sheetData>
  <conditionalFormatting pivot="1" sqref="B5:G28">
    <cfRule type="colorScale" priority="3">
      <colorScale>
        <cfvo type="min"/>
        <cfvo type="percentile" val="50"/>
        <cfvo type="max"/>
        <color rgb="FF99FF99"/>
        <color rgb="FFFFFF00"/>
        <color rgb="FFC00000"/>
      </colorScale>
    </cfRule>
  </conditionalFormatting>
  <hyperlinks>
    <hyperlink ref="A1" location="Dashboard!A1" display="Dashboard" xr:uid="{51687F3A-42DA-4CE1-9112-2122E45273E1}"/>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22DAA-C513-40CA-B9CD-D0E7CE95C8C5}">
  <sheetPr codeName="Sheet12">
    <tabColor rgb="FFEDCCFF"/>
  </sheetPr>
  <dimension ref="A1:D539"/>
  <sheetViews>
    <sheetView workbookViewId="0">
      <selection activeCell="C11" sqref="C11"/>
    </sheetView>
  </sheetViews>
  <sheetFormatPr defaultRowHeight="14.4" x14ac:dyDescent="0.3"/>
  <cols>
    <col min="1" max="1" width="16.88671875" bestFit="1" customWidth="1"/>
    <col min="2" max="2" width="14.109375" bestFit="1" customWidth="1"/>
    <col min="3" max="3" width="14.33203125" bestFit="1" customWidth="1"/>
    <col min="4" max="4" width="11.33203125" bestFit="1" customWidth="1"/>
  </cols>
  <sheetData>
    <row r="1" spans="1:4" x14ac:dyDescent="0.3">
      <c r="C1" s="40" t="s">
        <v>41</v>
      </c>
    </row>
    <row r="3" spans="1:4" x14ac:dyDescent="0.3">
      <c r="A3" t="s">
        <v>70</v>
      </c>
      <c r="B3" t="s">
        <v>71</v>
      </c>
      <c r="C3" t="s">
        <v>72</v>
      </c>
      <c r="D3" t="s">
        <v>73</v>
      </c>
    </row>
    <row r="4" spans="1:4" x14ac:dyDescent="0.3">
      <c r="A4" s="2">
        <v>45574.236111111109</v>
      </c>
      <c r="B4" s="30">
        <v>45574</v>
      </c>
      <c r="C4" t="s">
        <v>202</v>
      </c>
      <c r="D4">
        <v>0</v>
      </c>
    </row>
    <row r="5" spans="1:4" x14ac:dyDescent="0.3">
      <c r="A5" s="2">
        <v>45574.243055555555</v>
      </c>
      <c r="B5" s="30">
        <v>45574</v>
      </c>
      <c r="C5" t="s">
        <v>202</v>
      </c>
      <c r="D5">
        <v>0</v>
      </c>
    </row>
    <row r="6" spans="1:4" x14ac:dyDescent="0.3">
      <c r="A6" s="2">
        <v>45574.25</v>
      </c>
      <c r="B6" s="30">
        <v>45574</v>
      </c>
      <c r="C6" t="s">
        <v>203</v>
      </c>
      <c r="D6">
        <v>0</v>
      </c>
    </row>
    <row r="7" spans="1:4" x14ac:dyDescent="0.3">
      <c r="A7" s="2">
        <v>45574.256944444445</v>
      </c>
      <c r="B7" s="30">
        <v>45574</v>
      </c>
      <c r="C7" t="s">
        <v>203</v>
      </c>
      <c r="D7">
        <v>0</v>
      </c>
    </row>
    <row r="8" spans="1:4" x14ac:dyDescent="0.3">
      <c r="A8" s="2">
        <v>45574.263888888891</v>
      </c>
      <c r="B8" s="30">
        <v>45574</v>
      </c>
      <c r="C8" t="s">
        <v>203</v>
      </c>
      <c r="D8">
        <v>0</v>
      </c>
    </row>
    <row r="9" spans="1:4" x14ac:dyDescent="0.3">
      <c r="A9" s="2">
        <v>45574.270833333336</v>
      </c>
      <c r="B9" s="30">
        <v>45574</v>
      </c>
      <c r="C9" t="s">
        <v>203</v>
      </c>
      <c r="D9">
        <v>0</v>
      </c>
    </row>
    <row r="10" spans="1:4" x14ac:dyDescent="0.3">
      <c r="A10" s="2">
        <v>45574.277777777781</v>
      </c>
      <c r="B10" s="30">
        <v>45574</v>
      </c>
      <c r="C10" t="s">
        <v>203</v>
      </c>
      <c r="D10">
        <v>0</v>
      </c>
    </row>
    <row r="11" spans="1:4" x14ac:dyDescent="0.3">
      <c r="A11" s="2">
        <v>45574.284722222219</v>
      </c>
      <c r="B11" s="30">
        <v>45574</v>
      </c>
      <c r="C11" t="s">
        <v>203</v>
      </c>
      <c r="D11">
        <v>0</v>
      </c>
    </row>
    <row r="12" spans="1:4" x14ac:dyDescent="0.3">
      <c r="A12" s="2">
        <v>45574.291666666664</v>
      </c>
      <c r="B12" s="30">
        <v>45574</v>
      </c>
      <c r="C12" t="s">
        <v>204</v>
      </c>
      <c r="D12">
        <v>0</v>
      </c>
    </row>
    <row r="13" spans="1:4" x14ac:dyDescent="0.3">
      <c r="A13" s="2">
        <v>45574.298611111109</v>
      </c>
      <c r="B13" s="30">
        <v>45574</v>
      </c>
      <c r="C13" t="s">
        <v>204</v>
      </c>
      <c r="D13">
        <v>0</v>
      </c>
    </row>
    <row r="14" spans="1:4" x14ac:dyDescent="0.3">
      <c r="A14" s="2">
        <v>45574.305555555555</v>
      </c>
      <c r="B14" s="30">
        <v>45574</v>
      </c>
      <c r="C14" t="s">
        <v>204</v>
      </c>
      <c r="D14">
        <v>0</v>
      </c>
    </row>
    <row r="15" spans="1:4" x14ac:dyDescent="0.3">
      <c r="A15" s="2">
        <v>45574.3125</v>
      </c>
      <c r="B15" s="30">
        <v>45574</v>
      </c>
      <c r="C15" t="s">
        <v>204</v>
      </c>
      <c r="D15">
        <v>1</v>
      </c>
    </row>
    <row r="16" spans="1:4" x14ac:dyDescent="0.3">
      <c r="A16" s="2">
        <v>45574.319444444445</v>
      </c>
      <c r="B16" s="30">
        <v>45574</v>
      </c>
      <c r="C16" t="s">
        <v>204</v>
      </c>
      <c r="D16">
        <v>1</v>
      </c>
    </row>
    <row r="17" spans="1:4" x14ac:dyDescent="0.3">
      <c r="A17" s="2">
        <v>45574.326388888891</v>
      </c>
      <c r="B17" s="30">
        <v>45574</v>
      </c>
      <c r="C17" t="s">
        <v>204</v>
      </c>
      <c r="D17">
        <v>1</v>
      </c>
    </row>
    <row r="18" spans="1:4" x14ac:dyDescent="0.3">
      <c r="A18" s="2">
        <v>45574.333333333336</v>
      </c>
      <c r="B18" s="30">
        <v>45574</v>
      </c>
      <c r="C18" t="s">
        <v>205</v>
      </c>
      <c r="D18">
        <v>1</v>
      </c>
    </row>
    <row r="19" spans="1:4" x14ac:dyDescent="0.3">
      <c r="A19" s="2">
        <v>45574.340277777781</v>
      </c>
      <c r="B19" s="30">
        <v>45574</v>
      </c>
      <c r="C19" t="s">
        <v>205</v>
      </c>
      <c r="D19">
        <v>1</v>
      </c>
    </row>
    <row r="20" spans="1:4" x14ac:dyDescent="0.3">
      <c r="A20" s="2">
        <v>45574.347222222219</v>
      </c>
      <c r="B20" s="30">
        <v>45574</v>
      </c>
      <c r="C20" t="s">
        <v>205</v>
      </c>
      <c r="D20">
        <v>1</v>
      </c>
    </row>
    <row r="21" spans="1:4" x14ac:dyDescent="0.3">
      <c r="A21" s="2">
        <v>45574.354166666664</v>
      </c>
      <c r="B21" s="30">
        <v>45574</v>
      </c>
      <c r="C21" t="s">
        <v>205</v>
      </c>
      <c r="D21">
        <v>2</v>
      </c>
    </row>
    <row r="22" spans="1:4" x14ac:dyDescent="0.3">
      <c r="A22" s="2">
        <v>45574.361111111109</v>
      </c>
      <c r="B22" s="30">
        <v>45574</v>
      </c>
      <c r="C22" t="s">
        <v>205</v>
      </c>
      <c r="D22">
        <v>2</v>
      </c>
    </row>
    <row r="23" spans="1:4" x14ac:dyDescent="0.3">
      <c r="A23" s="2">
        <v>45574.368055555555</v>
      </c>
      <c r="B23" s="30">
        <v>45574</v>
      </c>
      <c r="C23" t="s">
        <v>205</v>
      </c>
      <c r="D23">
        <v>2</v>
      </c>
    </row>
    <row r="24" spans="1:4" x14ac:dyDescent="0.3">
      <c r="A24" s="2">
        <v>45574.375</v>
      </c>
      <c r="B24" s="30">
        <v>45574</v>
      </c>
      <c r="C24" t="s">
        <v>206</v>
      </c>
      <c r="D24">
        <v>3</v>
      </c>
    </row>
    <row r="25" spans="1:4" x14ac:dyDescent="0.3">
      <c r="A25" s="2">
        <v>45574.381944444445</v>
      </c>
      <c r="B25" s="30">
        <v>45574</v>
      </c>
      <c r="C25" t="s">
        <v>206</v>
      </c>
      <c r="D25">
        <v>3</v>
      </c>
    </row>
    <row r="26" spans="1:4" x14ac:dyDescent="0.3">
      <c r="A26" s="2">
        <v>45574.388888888891</v>
      </c>
      <c r="B26" s="30">
        <v>45574</v>
      </c>
      <c r="C26" t="s">
        <v>206</v>
      </c>
      <c r="D26">
        <v>3</v>
      </c>
    </row>
    <row r="27" spans="1:4" x14ac:dyDescent="0.3">
      <c r="A27" s="2">
        <v>45574.395833333336</v>
      </c>
      <c r="B27" s="30">
        <v>45574</v>
      </c>
      <c r="C27" t="s">
        <v>206</v>
      </c>
      <c r="D27">
        <v>3</v>
      </c>
    </row>
    <row r="28" spans="1:4" x14ac:dyDescent="0.3">
      <c r="A28" s="2">
        <v>45574.402777777781</v>
      </c>
      <c r="B28" s="30">
        <v>45574</v>
      </c>
      <c r="C28" t="s">
        <v>206</v>
      </c>
      <c r="D28">
        <v>4</v>
      </c>
    </row>
    <row r="29" spans="1:4" x14ac:dyDescent="0.3">
      <c r="A29" s="2">
        <v>45574.409722222219</v>
      </c>
      <c r="B29" s="30">
        <v>45574</v>
      </c>
      <c r="C29" t="s">
        <v>206</v>
      </c>
      <c r="D29">
        <v>3</v>
      </c>
    </row>
    <row r="30" spans="1:4" x14ac:dyDescent="0.3">
      <c r="A30" s="2">
        <v>45574.416666666664</v>
      </c>
      <c r="B30" s="30">
        <v>45574</v>
      </c>
      <c r="C30" t="s">
        <v>207</v>
      </c>
      <c r="D30">
        <v>3</v>
      </c>
    </row>
    <row r="31" spans="1:4" x14ac:dyDescent="0.3">
      <c r="A31" s="2">
        <v>45574.423611111109</v>
      </c>
      <c r="B31" s="30">
        <v>45574</v>
      </c>
      <c r="C31" t="s">
        <v>207</v>
      </c>
      <c r="D31">
        <v>3</v>
      </c>
    </row>
    <row r="32" spans="1:4" x14ac:dyDescent="0.3">
      <c r="A32" s="2">
        <v>45574.430555555555</v>
      </c>
      <c r="B32" s="30">
        <v>45574</v>
      </c>
      <c r="C32" t="s">
        <v>207</v>
      </c>
      <c r="D32">
        <v>4</v>
      </c>
    </row>
    <row r="33" spans="1:4" x14ac:dyDescent="0.3">
      <c r="A33" s="2">
        <v>45574.4375</v>
      </c>
      <c r="B33" s="30">
        <v>45574</v>
      </c>
      <c r="C33" t="s">
        <v>207</v>
      </c>
      <c r="D33">
        <v>4</v>
      </c>
    </row>
    <row r="34" spans="1:4" x14ac:dyDescent="0.3">
      <c r="A34" s="2">
        <v>45574.444444444445</v>
      </c>
      <c r="B34" s="30">
        <v>45574</v>
      </c>
      <c r="C34" t="s">
        <v>207</v>
      </c>
      <c r="D34">
        <v>4</v>
      </c>
    </row>
    <row r="35" spans="1:4" x14ac:dyDescent="0.3">
      <c r="A35" s="2">
        <v>45574.451388888891</v>
      </c>
      <c r="B35" s="30">
        <v>45574</v>
      </c>
      <c r="C35" t="s">
        <v>207</v>
      </c>
      <c r="D35">
        <v>4</v>
      </c>
    </row>
    <row r="36" spans="1:4" x14ac:dyDescent="0.3">
      <c r="A36" s="2">
        <v>45574.458333333336</v>
      </c>
      <c r="B36" s="30">
        <v>45574</v>
      </c>
      <c r="C36" t="s">
        <v>208</v>
      </c>
      <c r="D36">
        <v>4</v>
      </c>
    </row>
    <row r="37" spans="1:4" x14ac:dyDescent="0.3">
      <c r="A37" s="2">
        <v>45574.465277777781</v>
      </c>
      <c r="B37" s="30">
        <v>45574</v>
      </c>
      <c r="C37" t="s">
        <v>208</v>
      </c>
      <c r="D37">
        <v>5</v>
      </c>
    </row>
    <row r="38" spans="1:4" x14ac:dyDescent="0.3">
      <c r="A38" s="2">
        <v>45574.472222222219</v>
      </c>
      <c r="B38" s="30">
        <v>45574</v>
      </c>
      <c r="C38" t="s">
        <v>208</v>
      </c>
      <c r="D38">
        <v>5</v>
      </c>
    </row>
    <row r="39" spans="1:4" x14ac:dyDescent="0.3">
      <c r="A39" s="2">
        <v>45574.479166666664</v>
      </c>
      <c r="B39" s="30">
        <v>45574</v>
      </c>
      <c r="C39" t="s">
        <v>208</v>
      </c>
      <c r="D39">
        <v>5</v>
      </c>
    </row>
    <row r="40" spans="1:4" x14ac:dyDescent="0.3">
      <c r="A40" s="2">
        <v>45574.486111111109</v>
      </c>
      <c r="B40" s="30">
        <v>45574</v>
      </c>
      <c r="C40" t="s">
        <v>208</v>
      </c>
      <c r="D40">
        <v>5</v>
      </c>
    </row>
    <row r="41" spans="1:4" x14ac:dyDescent="0.3">
      <c r="A41" s="2">
        <v>45574.493055555555</v>
      </c>
      <c r="B41" s="30">
        <v>45574</v>
      </c>
      <c r="C41" t="s">
        <v>208</v>
      </c>
      <c r="D41">
        <v>5</v>
      </c>
    </row>
    <row r="42" spans="1:4" x14ac:dyDescent="0.3">
      <c r="A42" s="2">
        <v>45574.5</v>
      </c>
      <c r="B42" s="30">
        <v>45574</v>
      </c>
      <c r="C42" t="s">
        <v>209</v>
      </c>
      <c r="D42">
        <v>5</v>
      </c>
    </row>
    <row r="43" spans="1:4" x14ac:dyDescent="0.3">
      <c r="A43" s="2">
        <v>45574.506944444445</v>
      </c>
      <c r="B43" s="30">
        <v>45574</v>
      </c>
      <c r="C43" t="s">
        <v>209</v>
      </c>
      <c r="D43">
        <v>5</v>
      </c>
    </row>
    <row r="44" spans="1:4" x14ac:dyDescent="0.3">
      <c r="A44" s="2">
        <v>45574.513888888891</v>
      </c>
      <c r="B44" s="30">
        <v>45574</v>
      </c>
      <c r="C44" t="s">
        <v>209</v>
      </c>
      <c r="D44">
        <v>5</v>
      </c>
    </row>
    <row r="45" spans="1:4" x14ac:dyDescent="0.3">
      <c r="A45" s="2">
        <v>45574.520833333336</v>
      </c>
      <c r="B45" s="30">
        <v>45574</v>
      </c>
      <c r="C45" t="s">
        <v>209</v>
      </c>
      <c r="D45">
        <v>5</v>
      </c>
    </row>
    <row r="46" spans="1:4" x14ac:dyDescent="0.3">
      <c r="A46" s="2">
        <v>45574.527777777781</v>
      </c>
      <c r="B46" s="30">
        <v>45574</v>
      </c>
      <c r="C46" t="s">
        <v>209</v>
      </c>
      <c r="D46">
        <v>4</v>
      </c>
    </row>
    <row r="47" spans="1:4" x14ac:dyDescent="0.3">
      <c r="A47" s="2">
        <v>45574.534722222219</v>
      </c>
      <c r="B47" s="30">
        <v>45574</v>
      </c>
      <c r="C47" t="s">
        <v>209</v>
      </c>
      <c r="D47">
        <v>3</v>
      </c>
    </row>
    <row r="48" spans="1:4" x14ac:dyDescent="0.3">
      <c r="A48" s="2">
        <v>45574.541666666664</v>
      </c>
      <c r="B48" s="30">
        <v>45574</v>
      </c>
      <c r="C48" t="s">
        <v>210</v>
      </c>
      <c r="D48">
        <v>3</v>
      </c>
    </row>
    <row r="49" spans="1:4" x14ac:dyDescent="0.3">
      <c r="A49" s="2">
        <v>45574.548611111109</v>
      </c>
      <c r="B49" s="30">
        <v>45574</v>
      </c>
      <c r="C49" t="s">
        <v>210</v>
      </c>
      <c r="D49">
        <v>2</v>
      </c>
    </row>
    <row r="50" spans="1:4" x14ac:dyDescent="0.3">
      <c r="A50" s="2">
        <v>45574.555555555555</v>
      </c>
      <c r="B50" s="30">
        <v>45574</v>
      </c>
      <c r="C50" t="s">
        <v>210</v>
      </c>
      <c r="D50">
        <v>5</v>
      </c>
    </row>
    <row r="51" spans="1:4" x14ac:dyDescent="0.3">
      <c r="A51" s="2">
        <v>45574.5625</v>
      </c>
      <c r="B51" s="30">
        <v>45574</v>
      </c>
      <c r="C51" t="s">
        <v>210</v>
      </c>
      <c r="D51">
        <v>6</v>
      </c>
    </row>
    <row r="52" spans="1:4" x14ac:dyDescent="0.3">
      <c r="A52" s="2">
        <v>45574.569444444445</v>
      </c>
      <c r="B52" s="30">
        <v>45574</v>
      </c>
      <c r="C52" t="s">
        <v>210</v>
      </c>
      <c r="D52">
        <v>6</v>
      </c>
    </row>
    <row r="53" spans="1:4" x14ac:dyDescent="0.3">
      <c r="A53" s="2">
        <v>45574.576388888891</v>
      </c>
      <c r="B53" s="30">
        <v>45574</v>
      </c>
      <c r="C53" t="s">
        <v>210</v>
      </c>
      <c r="D53">
        <v>6</v>
      </c>
    </row>
    <row r="54" spans="1:4" x14ac:dyDescent="0.3">
      <c r="A54" s="2">
        <v>45574.583333333336</v>
      </c>
      <c r="B54" s="30">
        <v>45574</v>
      </c>
      <c r="C54" t="s">
        <v>211</v>
      </c>
      <c r="D54">
        <v>6</v>
      </c>
    </row>
    <row r="55" spans="1:4" x14ac:dyDescent="0.3">
      <c r="A55" s="2">
        <v>45574.590277777781</v>
      </c>
      <c r="B55" s="30">
        <v>45574</v>
      </c>
      <c r="C55" t="s">
        <v>211</v>
      </c>
      <c r="D55">
        <v>6</v>
      </c>
    </row>
    <row r="56" spans="1:4" x14ac:dyDescent="0.3">
      <c r="A56" s="2">
        <v>45574.597222222219</v>
      </c>
      <c r="B56" s="30">
        <v>45574</v>
      </c>
      <c r="C56" t="s">
        <v>211</v>
      </c>
      <c r="D56">
        <v>6</v>
      </c>
    </row>
    <row r="57" spans="1:4" x14ac:dyDescent="0.3">
      <c r="A57" s="2">
        <v>45574.604166666664</v>
      </c>
      <c r="B57" s="30">
        <v>45574</v>
      </c>
      <c r="C57" t="s">
        <v>211</v>
      </c>
      <c r="D57">
        <v>6</v>
      </c>
    </row>
    <row r="58" spans="1:4" x14ac:dyDescent="0.3">
      <c r="A58" s="2">
        <v>45574.611111111109</v>
      </c>
      <c r="B58" s="30">
        <v>45574</v>
      </c>
      <c r="C58" t="s">
        <v>211</v>
      </c>
      <c r="D58">
        <v>6</v>
      </c>
    </row>
    <row r="59" spans="1:4" x14ac:dyDescent="0.3">
      <c r="A59" s="2">
        <v>45574.618055555555</v>
      </c>
      <c r="B59" s="30">
        <v>45574</v>
      </c>
      <c r="C59" t="s">
        <v>211</v>
      </c>
      <c r="D59">
        <v>6</v>
      </c>
    </row>
    <row r="60" spans="1:4" x14ac:dyDescent="0.3">
      <c r="A60" s="2">
        <v>45574.625</v>
      </c>
      <c r="B60" s="30">
        <v>45574</v>
      </c>
      <c r="C60" t="s">
        <v>212</v>
      </c>
      <c r="D60">
        <v>7</v>
      </c>
    </row>
    <row r="61" spans="1:4" x14ac:dyDescent="0.3">
      <c r="A61" s="2">
        <v>45574.631944444445</v>
      </c>
      <c r="B61" s="30">
        <v>45574</v>
      </c>
      <c r="C61" t="s">
        <v>212</v>
      </c>
      <c r="D61">
        <v>7</v>
      </c>
    </row>
    <row r="62" spans="1:4" x14ac:dyDescent="0.3">
      <c r="A62" s="2">
        <v>45574.638888888891</v>
      </c>
      <c r="B62" s="30">
        <v>45574</v>
      </c>
      <c r="C62" t="s">
        <v>212</v>
      </c>
      <c r="D62">
        <v>7</v>
      </c>
    </row>
    <row r="63" spans="1:4" x14ac:dyDescent="0.3">
      <c r="A63" s="2">
        <v>45574.645833333336</v>
      </c>
      <c r="B63" s="30">
        <v>45574</v>
      </c>
      <c r="C63" t="s">
        <v>212</v>
      </c>
      <c r="D63">
        <v>7</v>
      </c>
    </row>
    <row r="64" spans="1:4" x14ac:dyDescent="0.3">
      <c r="A64" s="2">
        <v>45574.652777777781</v>
      </c>
      <c r="B64" s="30">
        <v>45574</v>
      </c>
      <c r="C64" t="s">
        <v>212</v>
      </c>
      <c r="D64">
        <v>7</v>
      </c>
    </row>
    <row r="65" spans="1:4" x14ac:dyDescent="0.3">
      <c r="A65" s="2">
        <v>45574.659722222219</v>
      </c>
      <c r="B65" s="30">
        <v>45574</v>
      </c>
      <c r="C65" t="s">
        <v>212</v>
      </c>
      <c r="D65">
        <v>7</v>
      </c>
    </row>
    <row r="66" spans="1:4" x14ac:dyDescent="0.3">
      <c r="A66" s="2">
        <v>45574.666666666664</v>
      </c>
      <c r="B66" s="30">
        <v>45574</v>
      </c>
      <c r="C66" t="s">
        <v>213</v>
      </c>
      <c r="D66">
        <v>6</v>
      </c>
    </row>
    <row r="67" spans="1:4" x14ac:dyDescent="0.3">
      <c r="A67" s="2">
        <v>45574.673611111109</v>
      </c>
      <c r="B67" s="30">
        <v>45574</v>
      </c>
      <c r="C67" t="s">
        <v>213</v>
      </c>
      <c r="D67">
        <v>6</v>
      </c>
    </row>
    <row r="68" spans="1:4" x14ac:dyDescent="0.3">
      <c r="A68" s="2">
        <v>45574.680555555555</v>
      </c>
      <c r="B68" s="30">
        <v>45574</v>
      </c>
      <c r="C68" t="s">
        <v>213</v>
      </c>
      <c r="D68">
        <v>6</v>
      </c>
    </row>
    <row r="69" spans="1:4" x14ac:dyDescent="0.3">
      <c r="A69" s="2">
        <v>45574.6875</v>
      </c>
      <c r="B69" s="30">
        <v>45574</v>
      </c>
      <c r="C69" t="s">
        <v>213</v>
      </c>
      <c r="D69">
        <v>6</v>
      </c>
    </row>
    <row r="70" spans="1:4" x14ac:dyDescent="0.3">
      <c r="A70" s="2">
        <v>45574.694444444445</v>
      </c>
      <c r="B70" s="30">
        <v>45574</v>
      </c>
      <c r="C70" t="s">
        <v>213</v>
      </c>
      <c r="D70">
        <v>6</v>
      </c>
    </row>
    <row r="71" spans="1:4" x14ac:dyDescent="0.3">
      <c r="A71" s="2">
        <v>45574.701388888891</v>
      </c>
      <c r="B71" s="30">
        <v>45574</v>
      </c>
      <c r="C71" t="s">
        <v>213</v>
      </c>
      <c r="D71">
        <v>6</v>
      </c>
    </row>
    <row r="72" spans="1:4" x14ac:dyDescent="0.3">
      <c r="A72" s="2">
        <v>45574.708333333336</v>
      </c>
      <c r="B72" s="30">
        <v>45574</v>
      </c>
      <c r="C72" t="s">
        <v>174</v>
      </c>
      <c r="D72">
        <v>5</v>
      </c>
    </row>
    <row r="73" spans="1:4" x14ac:dyDescent="0.3">
      <c r="A73" s="2">
        <v>45574.715277777781</v>
      </c>
      <c r="B73" s="30">
        <v>45574</v>
      </c>
      <c r="C73" t="s">
        <v>174</v>
      </c>
      <c r="D73">
        <v>5</v>
      </c>
    </row>
    <row r="74" spans="1:4" x14ac:dyDescent="0.3">
      <c r="A74" s="2">
        <v>45574.722222222219</v>
      </c>
      <c r="B74" s="30">
        <v>45574</v>
      </c>
      <c r="C74" t="s">
        <v>174</v>
      </c>
      <c r="D74">
        <v>5</v>
      </c>
    </row>
    <row r="75" spans="1:4" x14ac:dyDescent="0.3">
      <c r="A75" s="2">
        <v>45574.729166666664</v>
      </c>
      <c r="B75" s="30">
        <v>45574</v>
      </c>
      <c r="C75" t="s">
        <v>174</v>
      </c>
      <c r="D75">
        <v>4</v>
      </c>
    </row>
    <row r="76" spans="1:4" x14ac:dyDescent="0.3">
      <c r="A76" s="2">
        <v>45574.736111111109</v>
      </c>
      <c r="B76" s="30">
        <v>45574</v>
      </c>
      <c r="C76" t="s">
        <v>174</v>
      </c>
      <c r="D76">
        <v>4</v>
      </c>
    </row>
    <row r="77" spans="1:4" x14ac:dyDescent="0.3">
      <c r="A77" s="2">
        <v>45574.743055555555</v>
      </c>
      <c r="B77" s="30">
        <v>45574</v>
      </c>
      <c r="C77" t="s">
        <v>174</v>
      </c>
      <c r="D77">
        <v>4</v>
      </c>
    </row>
    <row r="78" spans="1:4" x14ac:dyDescent="0.3">
      <c r="A78" s="2">
        <v>45574.75</v>
      </c>
      <c r="B78" s="30">
        <v>45574</v>
      </c>
      <c r="C78" t="s">
        <v>175</v>
      </c>
      <c r="D78">
        <v>3</v>
      </c>
    </row>
    <row r="79" spans="1:4" x14ac:dyDescent="0.3">
      <c r="A79" s="2">
        <v>45574.756944444445</v>
      </c>
      <c r="B79" s="30">
        <v>45574</v>
      </c>
      <c r="C79" t="s">
        <v>175</v>
      </c>
      <c r="D79">
        <v>3</v>
      </c>
    </row>
    <row r="80" spans="1:4" x14ac:dyDescent="0.3">
      <c r="A80" s="2">
        <v>45574.763888888891</v>
      </c>
      <c r="B80" s="30">
        <v>45574</v>
      </c>
      <c r="C80" t="s">
        <v>175</v>
      </c>
      <c r="D80">
        <v>3</v>
      </c>
    </row>
    <row r="81" spans="1:4" x14ac:dyDescent="0.3">
      <c r="A81" s="2">
        <v>45574.770833333336</v>
      </c>
      <c r="B81" s="30">
        <v>45574</v>
      </c>
      <c r="C81" t="s">
        <v>175</v>
      </c>
      <c r="D81">
        <v>2</v>
      </c>
    </row>
    <row r="82" spans="1:4" x14ac:dyDescent="0.3">
      <c r="A82" s="2">
        <v>45574.777777777781</v>
      </c>
      <c r="B82" s="30">
        <v>45574</v>
      </c>
      <c r="C82" t="s">
        <v>175</v>
      </c>
      <c r="D82">
        <v>2</v>
      </c>
    </row>
    <row r="83" spans="1:4" x14ac:dyDescent="0.3">
      <c r="A83" s="2">
        <v>45574.784722222219</v>
      </c>
      <c r="B83" s="30">
        <v>45574</v>
      </c>
      <c r="C83" t="s">
        <v>175</v>
      </c>
      <c r="D83">
        <v>1</v>
      </c>
    </row>
    <row r="84" spans="1:4" x14ac:dyDescent="0.3">
      <c r="A84" s="2">
        <v>45574.791666666664</v>
      </c>
      <c r="B84" s="30">
        <v>45574</v>
      </c>
      <c r="C84" t="s">
        <v>192</v>
      </c>
      <c r="D84">
        <v>1</v>
      </c>
    </row>
    <row r="85" spans="1:4" x14ac:dyDescent="0.3">
      <c r="A85" s="2">
        <v>45574.798611111109</v>
      </c>
      <c r="B85" s="30">
        <v>45574</v>
      </c>
      <c r="C85" t="s">
        <v>192</v>
      </c>
      <c r="D85">
        <v>1</v>
      </c>
    </row>
    <row r="86" spans="1:4" x14ac:dyDescent="0.3">
      <c r="A86" s="2">
        <v>45574.805555555555</v>
      </c>
      <c r="B86" s="30">
        <v>45574</v>
      </c>
      <c r="C86" t="s">
        <v>192</v>
      </c>
      <c r="D86">
        <v>0</v>
      </c>
    </row>
    <row r="87" spans="1:4" x14ac:dyDescent="0.3">
      <c r="A87" s="2">
        <v>45574.8125</v>
      </c>
      <c r="B87" s="30">
        <v>45574</v>
      </c>
      <c r="C87" t="s">
        <v>192</v>
      </c>
      <c r="D87">
        <v>0</v>
      </c>
    </row>
    <row r="88" spans="1:4" x14ac:dyDescent="0.3">
      <c r="A88" s="2">
        <v>45574.819444444445</v>
      </c>
      <c r="B88" s="30">
        <v>45574</v>
      </c>
      <c r="C88" t="s">
        <v>192</v>
      </c>
      <c r="D88">
        <v>0</v>
      </c>
    </row>
    <row r="89" spans="1:4" x14ac:dyDescent="0.3">
      <c r="A89" s="2">
        <v>45574.826388888891</v>
      </c>
      <c r="B89" s="30">
        <v>45574</v>
      </c>
      <c r="C89" t="s">
        <v>192</v>
      </c>
      <c r="D89">
        <v>0</v>
      </c>
    </row>
    <row r="90" spans="1:4" x14ac:dyDescent="0.3">
      <c r="A90" s="2">
        <v>45574.833333333336</v>
      </c>
      <c r="B90" s="30">
        <v>45574</v>
      </c>
      <c r="C90" t="s">
        <v>193</v>
      </c>
      <c r="D90">
        <v>0</v>
      </c>
    </row>
    <row r="91" spans="1:4" x14ac:dyDescent="0.3">
      <c r="A91" s="2">
        <v>45574.840277777781</v>
      </c>
      <c r="B91" s="30">
        <v>45574</v>
      </c>
      <c r="C91" t="s">
        <v>193</v>
      </c>
      <c r="D91">
        <v>0</v>
      </c>
    </row>
    <row r="92" spans="1:4" x14ac:dyDescent="0.3">
      <c r="A92" s="2">
        <v>45574.847222222219</v>
      </c>
      <c r="B92" s="30">
        <v>45574</v>
      </c>
      <c r="C92" t="s">
        <v>193</v>
      </c>
      <c r="D92">
        <v>0</v>
      </c>
    </row>
    <row r="93" spans="1:4" x14ac:dyDescent="0.3">
      <c r="A93" s="2">
        <v>45574.854166666664</v>
      </c>
      <c r="B93" s="30">
        <v>45574</v>
      </c>
      <c r="C93" t="s">
        <v>193</v>
      </c>
      <c r="D93">
        <v>0</v>
      </c>
    </row>
    <row r="94" spans="1:4" x14ac:dyDescent="0.3">
      <c r="A94" s="2">
        <v>45574.861111111109</v>
      </c>
      <c r="B94" s="30">
        <v>45574</v>
      </c>
      <c r="C94" t="s">
        <v>193</v>
      </c>
      <c r="D94">
        <v>0</v>
      </c>
    </row>
    <row r="95" spans="1:4" x14ac:dyDescent="0.3">
      <c r="A95" s="2">
        <v>45574.868055555555</v>
      </c>
      <c r="B95" s="30">
        <v>45574</v>
      </c>
      <c r="C95" t="s">
        <v>193</v>
      </c>
      <c r="D95">
        <v>0</v>
      </c>
    </row>
    <row r="96" spans="1:4" x14ac:dyDescent="0.3">
      <c r="A96" s="2">
        <v>45574.875</v>
      </c>
      <c r="B96" s="30">
        <v>45574</v>
      </c>
      <c r="C96" t="s">
        <v>194</v>
      </c>
      <c r="D96">
        <v>0</v>
      </c>
    </row>
    <row r="97" spans="1:4" x14ac:dyDescent="0.3">
      <c r="A97" s="2">
        <v>45574.881944444445</v>
      </c>
      <c r="B97" s="30">
        <v>45574</v>
      </c>
      <c r="C97" t="s">
        <v>194</v>
      </c>
      <c r="D97">
        <v>0</v>
      </c>
    </row>
    <row r="98" spans="1:4" x14ac:dyDescent="0.3">
      <c r="A98" s="2">
        <v>45574.888888888891</v>
      </c>
      <c r="B98" s="30">
        <v>45574</v>
      </c>
      <c r="C98" t="s">
        <v>194</v>
      </c>
      <c r="D98">
        <v>0</v>
      </c>
    </row>
    <row r="99" spans="1:4" x14ac:dyDescent="0.3">
      <c r="A99" s="2">
        <v>45574.895833333336</v>
      </c>
      <c r="B99" s="30">
        <v>45574</v>
      </c>
      <c r="C99" t="s">
        <v>194</v>
      </c>
      <c r="D99">
        <v>0</v>
      </c>
    </row>
    <row r="100" spans="1:4" x14ac:dyDescent="0.3">
      <c r="A100" s="2">
        <v>45574.902777777781</v>
      </c>
      <c r="B100" s="30">
        <v>45574</v>
      </c>
      <c r="C100" t="s">
        <v>194</v>
      </c>
      <c r="D100">
        <v>0</v>
      </c>
    </row>
    <row r="101" spans="1:4" x14ac:dyDescent="0.3">
      <c r="A101" s="2">
        <v>45574.909722222219</v>
      </c>
      <c r="B101" s="30">
        <v>45574</v>
      </c>
      <c r="C101" t="s">
        <v>194</v>
      </c>
      <c r="D101">
        <v>0</v>
      </c>
    </row>
    <row r="102" spans="1:4" x14ac:dyDescent="0.3">
      <c r="A102" s="2">
        <v>45574.916666666664</v>
      </c>
      <c r="B102" s="30">
        <v>45574</v>
      </c>
      <c r="C102" t="s">
        <v>195</v>
      </c>
      <c r="D102">
        <v>0</v>
      </c>
    </row>
    <row r="103" spans="1:4" x14ac:dyDescent="0.3">
      <c r="A103" s="2">
        <v>45574.923611111109</v>
      </c>
      <c r="B103" s="30">
        <v>45574</v>
      </c>
      <c r="C103" t="s">
        <v>195</v>
      </c>
      <c r="D103">
        <v>0</v>
      </c>
    </row>
    <row r="104" spans="1:4" x14ac:dyDescent="0.3">
      <c r="A104" s="2">
        <v>45574.930555555555</v>
      </c>
      <c r="B104" s="30">
        <v>45574</v>
      </c>
      <c r="C104" t="s">
        <v>195</v>
      </c>
      <c r="D104">
        <v>0</v>
      </c>
    </row>
    <row r="105" spans="1:4" x14ac:dyDescent="0.3">
      <c r="A105" s="2">
        <v>45574.9375</v>
      </c>
      <c r="B105" s="30">
        <v>45574</v>
      </c>
      <c r="C105" t="s">
        <v>195</v>
      </c>
      <c r="D105">
        <v>0</v>
      </c>
    </row>
    <row r="106" spans="1:4" x14ac:dyDescent="0.3">
      <c r="A106" s="2">
        <v>45574.944444444445</v>
      </c>
      <c r="B106" s="30">
        <v>45574</v>
      </c>
      <c r="C106" t="s">
        <v>195</v>
      </c>
      <c r="D106">
        <v>0</v>
      </c>
    </row>
    <row r="107" spans="1:4" x14ac:dyDescent="0.3">
      <c r="A107" s="2">
        <v>45574.951388888891</v>
      </c>
      <c r="B107" s="30">
        <v>45574</v>
      </c>
      <c r="C107" t="s">
        <v>195</v>
      </c>
      <c r="D107">
        <v>0</v>
      </c>
    </row>
    <row r="108" spans="1:4" x14ac:dyDescent="0.3">
      <c r="A108" s="2">
        <v>45574.958333333336</v>
      </c>
      <c r="B108" s="30">
        <v>45574</v>
      </c>
      <c r="C108" t="s">
        <v>196</v>
      </c>
      <c r="D108">
        <v>0</v>
      </c>
    </row>
    <row r="109" spans="1:4" x14ac:dyDescent="0.3">
      <c r="A109" s="2">
        <v>45574.965277777781</v>
      </c>
      <c r="B109" s="30">
        <v>45574</v>
      </c>
      <c r="C109" t="s">
        <v>196</v>
      </c>
      <c r="D109">
        <v>0</v>
      </c>
    </row>
    <row r="110" spans="1:4" x14ac:dyDescent="0.3">
      <c r="A110" s="2">
        <v>45574.972222222219</v>
      </c>
      <c r="B110" s="30">
        <v>45574</v>
      </c>
      <c r="C110" t="s">
        <v>196</v>
      </c>
      <c r="D110">
        <v>0</v>
      </c>
    </row>
    <row r="111" spans="1:4" x14ac:dyDescent="0.3">
      <c r="A111" s="2">
        <v>45574.979166666664</v>
      </c>
      <c r="B111" s="30">
        <v>45574</v>
      </c>
      <c r="C111" t="s">
        <v>196</v>
      </c>
      <c r="D111">
        <v>0</v>
      </c>
    </row>
    <row r="112" spans="1:4" x14ac:dyDescent="0.3">
      <c r="A112" s="2">
        <v>45574.986111111109</v>
      </c>
      <c r="B112" s="30">
        <v>45574</v>
      </c>
      <c r="C112" t="s">
        <v>196</v>
      </c>
      <c r="D112">
        <v>0</v>
      </c>
    </row>
    <row r="113" spans="1:4" x14ac:dyDescent="0.3">
      <c r="A113" s="2">
        <v>45574.993055555555</v>
      </c>
      <c r="B113" s="30">
        <v>45574</v>
      </c>
      <c r="C113" t="s">
        <v>196</v>
      </c>
      <c r="D113">
        <v>0</v>
      </c>
    </row>
    <row r="114" spans="1:4" x14ac:dyDescent="0.3">
      <c r="A114" s="2">
        <v>45575</v>
      </c>
      <c r="B114" s="30">
        <v>45575</v>
      </c>
      <c r="C114" t="s">
        <v>197</v>
      </c>
      <c r="D114">
        <v>0</v>
      </c>
    </row>
    <row r="115" spans="1:4" x14ac:dyDescent="0.3">
      <c r="A115" s="2">
        <v>45575.006944444445</v>
      </c>
      <c r="B115" s="30">
        <v>45575</v>
      </c>
      <c r="C115" t="s">
        <v>197</v>
      </c>
      <c r="D115">
        <v>0</v>
      </c>
    </row>
    <row r="116" spans="1:4" x14ac:dyDescent="0.3">
      <c r="A116" s="2">
        <v>45575.013888888891</v>
      </c>
      <c r="B116" s="30">
        <v>45575</v>
      </c>
      <c r="C116" t="s">
        <v>197</v>
      </c>
      <c r="D116">
        <v>0</v>
      </c>
    </row>
    <row r="117" spans="1:4" x14ac:dyDescent="0.3">
      <c r="A117" s="2">
        <v>45575.020833333336</v>
      </c>
      <c r="B117" s="30">
        <v>45575</v>
      </c>
      <c r="C117" t="s">
        <v>197</v>
      </c>
      <c r="D117">
        <v>0</v>
      </c>
    </row>
    <row r="118" spans="1:4" x14ac:dyDescent="0.3">
      <c r="A118" s="2">
        <v>45575.027777777781</v>
      </c>
      <c r="B118" s="30">
        <v>45575</v>
      </c>
      <c r="C118" t="s">
        <v>197</v>
      </c>
      <c r="D118">
        <v>0</v>
      </c>
    </row>
    <row r="119" spans="1:4" x14ac:dyDescent="0.3">
      <c r="A119" s="2">
        <v>45575.034722222219</v>
      </c>
      <c r="B119" s="30">
        <v>45575</v>
      </c>
      <c r="C119" t="s">
        <v>197</v>
      </c>
      <c r="D119">
        <v>0</v>
      </c>
    </row>
    <row r="120" spans="1:4" x14ac:dyDescent="0.3">
      <c r="A120" s="2">
        <v>45575.041666666664</v>
      </c>
      <c r="B120" s="30">
        <v>45575</v>
      </c>
      <c r="C120" t="s">
        <v>198</v>
      </c>
      <c r="D120">
        <v>0</v>
      </c>
    </row>
    <row r="121" spans="1:4" x14ac:dyDescent="0.3">
      <c r="A121" s="2">
        <v>45575.048611111109</v>
      </c>
      <c r="B121" s="30">
        <v>45575</v>
      </c>
      <c r="C121" t="s">
        <v>198</v>
      </c>
      <c r="D121">
        <v>0</v>
      </c>
    </row>
    <row r="122" spans="1:4" x14ac:dyDescent="0.3">
      <c r="A122" s="2">
        <v>45575.055555555555</v>
      </c>
      <c r="B122" s="30">
        <v>45575</v>
      </c>
      <c r="C122" t="s">
        <v>198</v>
      </c>
      <c r="D122">
        <v>0</v>
      </c>
    </row>
    <row r="123" spans="1:4" x14ac:dyDescent="0.3">
      <c r="A123" s="2">
        <v>45575.0625</v>
      </c>
      <c r="B123" s="30">
        <v>45575</v>
      </c>
      <c r="C123" t="s">
        <v>198</v>
      </c>
      <c r="D123">
        <v>0</v>
      </c>
    </row>
    <row r="124" spans="1:4" x14ac:dyDescent="0.3">
      <c r="A124" s="2">
        <v>45575.069444444445</v>
      </c>
      <c r="B124" s="30">
        <v>45575</v>
      </c>
      <c r="C124" t="s">
        <v>198</v>
      </c>
      <c r="D124">
        <v>0</v>
      </c>
    </row>
    <row r="125" spans="1:4" x14ac:dyDescent="0.3">
      <c r="A125" s="2">
        <v>45575.076388888891</v>
      </c>
      <c r="B125" s="30">
        <v>45575</v>
      </c>
      <c r="C125" t="s">
        <v>198</v>
      </c>
      <c r="D125">
        <v>0</v>
      </c>
    </row>
    <row r="126" spans="1:4" x14ac:dyDescent="0.3">
      <c r="A126" s="2">
        <v>45575.083333333336</v>
      </c>
      <c r="B126" s="30">
        <v>45575</v>
      </c>
      <c r="C126" t="s">
        <v>199</v>
      </c>
      <c r="D126">
        <v>0</v>
      </c>
    </row>
    <row r="127" spans="1:4" x14ac:dyDescent="0.3">
      <c r="A127" s="2">
        <v>45575.090277777781</v>
      </c>
      <c r="B127" s="30">
        <v>45575</v>
      </c>
      <c r="C127" t="s">
        <v>199</v>
      </c>
      <c r="D127">
        <v>0</v>
      </c>
    </row>
    <row r="128" spans="1:4" x14ac:dyDescent="0.3">
      <c r="A128" s="2">
        <v>45575.097222222219</v>
      </c>
      <c r="B128" s="30">
        <v>45575</v>
      </c>
      <c r="C128" t="s">
        <v>199</v>
      </c>
      <c r="D128">
        <v>0</v>
      </c>
    </row>
    <row r="129" spans="1:4" x14ac:dyDescent="0.3">
      <c r="A129" s="2">
        <v>45575.104166666664</v>
      </c>
      <c r="B129" s="30">
        <v>45575</v>
      </c>
      <c r="C129" t="s">
        <v>199</v>
      </c>
      <c r="D129">
        <v>0</v>
      </c>
    </row>
    <row r="130" spans="1:4" x14ac:dyDescent="0.3">
      <c r="A130" s="2">
        <v>45575.111111111109</v>
      </c>
      <c r="B130" s="30">
        <v>45575</v>
      </c>
      <c r="C130" t="s">
        <v>199</v>
      </c>
      <c r="D130">
        <v>0</v>
      </c>
    </row>
    <row r="131" spans="1:4" x14ac:dyDescent="0.3">
      <c r="A131" s="2">
        <v>45575.118055555555</v>
      </c>
      <c r="B131" s="30">
        <v>45575</v>
      </c>
      <c r="C131" t="s">
        <v>199</v>
      </c>
      <c r="D131">
        <v>0</v>
      </c>
    </row>
    <row r="132" spans="1:4" x14ac:dyDescent="0.3">
      <c r="A132" s="2">
        <v>45575.125</v>
      </c>
      <c r="B132" s="30">
        <v>45575</v>
      </c>
      <c r="C132" t="s">
        <v>200</v>
      </c>
      <c r="D132">
        <v>0</v>
      </c>
    </row>
    <row r="133" spans="1:4" x14ac:dyDescent="0.3">
      <c r="A133" s="2">
        <v>45575.131944444445</v>
      </c>
      <c r="B133" s="30">
        <v>45575</v>
      </c>
      <c r="C133" t="s">
        <v>200</v>
      </c>
      <c r="D133">
        <v>0</v>
      </c>
    </row>
    <row r="134" spans="1:4" x14ac:dyDescent="0.3">
      <c r="A134" s="2">
        <v>45575.138888888891</v>
      </c>
      <c r="B134" s="30">
        <v>45575</v>
      </c>
      <c r="C134" t="s">
        <v>200</v>
      </c>
      <c r="D134">
        <v>0</v>
      </c>
    </row>
    <row r="135" spans="1:4" x14ac:dyDescent="0.3">
      <c r="A135" s="2">
        <v>45575.145833333336</v>
      </c>
      <c r="B135" s="30">
        <v>45575</v>
      </c>
      <c r="C135" t="s">
        <v>200</v>
      </c>
      <c r="D135">
        <v>0</v>
      </c>
    </row>
    <row r="136" spans="1:4" x14ac:dyDescent="0.3">
      <c r="A136" s="2">
        <v>45575.152777777781</v>
      </c>
      <c r="B136" s="30">
        <v>45575</v>
      </c>
      <c r="C136" t="s">
        <v>200</v>
      </c>
      <c r="D136">
        <v>0</v>
      </c>
    </row>
    <row r="137" spans="1:4" x14ac:dyDescent="0.3">
      <c r="A137" s="2">
        <v>45575.159722222219</v>
      </c>
      <c r="B137" s="30">
        <v>45575</v>
      </c>
      <c r="C137" t="s">
        <v>200</v>
      </c>
      <c r="D137">
        <v>0</v>
      </c>
    </row>
    <row r="138" spans="1:4" x14ac:dyDescent="0.3">
      <c r="A138" s="2">
        <v>45575.166666666664</v>
      </c>
      <c r="B138" s="30">
        <v>45575</v>
      </c>
      <c r="C138" t="s">
        <v>201</v>
      </c>
      <c r="D138">
        <v>0</v>
      </c>
    </row>
    <row r="139" spans="1:4" x14ac:dyDescent="0.3">
      <c r="A139" s="2">
        <v>45575.173611111109</v>
      </c>
      <c r="B139" s="30">
        <v>45575</v>
      </c>
      <c r="C139" t="s">
        <v>201</v>
      </c>
      <c r="D139">
        <v>0</v>
      </c>
    </row>
    <row r="140" spans="1:4" x14ac:dyDescent="0.3">
      <c r="A140" s="2">
        <v>45575.180555555555</v>
      </c>
      <c r="B140" s="30">
        <v>45575</v>
      </c>
      <c r="C140" t="s">
        <v>201</v>
      </c>
      <c r="D140">
        <v>0</v>
      </c>
    </row>
    <row r="141" spans="1:4" x14ac:dyDescent="0.3">
      <c r="A141" s="2">
        <v>45575.1875</v>
      </c>
      <c r="B141" s="30">
        <v>45575</v>
      </c>
      <c r="C141" t="s">
        <v>201</v>
      </c>
      <c r="D141">
        <v>0</v>
      </c>
    </row>
    <row r="142" spans="1:4" x14ac:dyDescent="0.3">
      <c r="A142" s="2">
        <v>45575.194444444445</v>
      </c>
      <c r="B142" s="30">
        <v>45575</v>
      </c>
      <c r="C142" t="s">
        <v>201</v>
      </c>
      <c r="D142">
        <v>0</v>
      </c>
    </row>
    <row r="143" spans="1:4" x14ac:dyDescent="0.3">
      <c r="A143" s="2">
        <v>45575.201388888891</v>
      </c>
      <c r="B143" s="30">
        <v>45575</v>
      </c>
      <c r="C143" t="s">
        <v>201</v>
      </c>
      <c r="D143">
        <v>0</v>
      </c>
    </row>
    <row r="144" spans="1:4" x14ac:dyDescent="0.3">
      <c r="A144" s="2">
        <v>45575.208333333336</v>
      </c>
      <c r="B144" s="30">
        <v>45575</v>
      </c>
      <c r="C144" t="s">
        <v>202</v>
      </c>
      <c r="D144">
        <v>0</v>
      </c>
    </row>
    <row r="145" spans="1:4" x14ac:dyDescent="0.3">
      <c r="A145" s="2">
        <v>45575.215277777781</v>
      </c>
      <c r="B145" s="30">
        <v>45575</v>
      </c>
      <c r="C145" t="s">
        <v>202</v>
      </c>
      <c r="D145">
        <v>0</v>
      </c>
    </row>
    <row r="146" spans="1:4" x14ac:dyDescent="0.3">
      <c r="A146" s="2">
        <v>45575.222222222219</v>
      </c>
      <c r="B146" s="30">
        <v>45575</v>
      </c>
      <c r="C146" t="s">
        <v>202</v>
      </c>
      <c r="D146">
        <v>0</v>
      </c>
    </row>
    <row r="147" spans="1:4" x14ac:dyDescent="0.3">
      <c r="A147" s="2">
        <v>45575.229166666664</v>
      </c>
      <c r="B147" s="30">
        <v>45575</v>
      </c>
      <c r="C147" t="s">
        <v>202</v>
      </c>
      <c r="D147">
        <v>0</v>
      </c>
    </row>
    <row r="148" spans="1:4" x14ac:dyDescent="0.3">
      <c r="A148" s="2">
        <v>45575.236111111109</v>
      </c>
      <c r="B148" s="30">
        <v>45575</v>
      </c>
      <c r="C148" t="s">
        <v>202</v>
      </c>
      <c r="D148">
        <v>0</v>
      </c>
    </row>
    <row r="149" spans="1:4" x14ac:dyDescent="0.3">
      <c r="A149" s="2">
        <v>45575.243055555555</v>
      </c>
      <c r="B149" s="30">
        <v>45575</v>
      </c>
      <c r="C149" t="s">
        <v>202</v>
      </c>
      <c r="D149">
        <v>0</v>
      </c>
    </row>
    <row r="150" spans="1:4" x14ac:dyDescent="0.3">
      <c r="A150" s="2">
        <v>45575.25</v>
      </c>
      <c r="B150" s="30">
        <v>45575</v>
      </c>
      <c r="C150" t="s">
        <v>203</v>
      </c>
      <c r="D150">
        <v>0</v>
      </c>
    </row>
    <row r="151" spans="1:4" x14ac:dyDescent="0.3">
      <c r="A151" s="2">
        <v>45575.256944444445</v>
      </c>
      <c r="B151" s="30">
        <v>45575</v>
      </c>
      <c r="C151" t="s">
        <v>203</v>
      </c>
      <c r="D151">
        <v>0</v>
      </c>
    </row>
    <row r="152" spans="1:4" x14ac:dyDescent="0.3">
      <c r="A152" s="2">
        <v>45575.263888888891</v>
      </c>
      <c r="B152" s="30">
        <v>45575</v>
      </c>
      <c r="C152" t="s">
        <v>203</v>
      </c>
      <c r="D152">
        <v>0</v>
      </c>
    </row>
    <row r="153" spans="1:4" x14ac:dyDescent="0.3">
      <c r="A153" s="2">
        <v>45575.270833333336</v>
      </c>
      <c r="B153" s="30">
        <v>45575</v>
      </c>
      <c r="C153" t="s">
        <v>203</v>
      </c>
      <c r="D153">
        <v>0</v>
      </c>
    </row>
    <row r="154" spans="1:4" x14ac:dyDescent="0.3">
      <c r="A154" s="2">
        <v>45575.277777777781</v>
      </c>
      <c r="B154" s="30">
        <v>45575</v>
      </c>
      <c r="C154" t="s">
        <v>203</v>
      </c>
      <c r="D154">
        <v>0</v>
      </c>
    </row>
    <row r="155" spans="1:4" x14ac:dyDescent="0.3">
      <c r="A155" s="2">
        <v>45575.284722222219</v>
      </c>
      <c r="B155" s="30">
        <v>45575</v>
      </c>
      <c r="C155" t="s">
        <v>203</v>
      </c>
      <c r="D155">
        <v>0</v>
      </c>
    </row>
    <row r="156" spans="1:4" x14ac:dyDescent="0.3">
      <c r="A156" s="2">
        <v>45575.291666666664</v>
      </c>
      <c r="B156" s="30">
        <v>45575</v>
      </c>
      <c r="C156" t="s">
        <v>204</v>
      </c>
      <c r="D156">
        <v>0</v>
      </c>
    </row>
    <row r="157" spans="1:4" x14ac:dyDescent="0.3">
      <c r="A157" s="2">
        <v>45575.298611111109</v>
      </c>
      <c r="B157" s="30">
        <v>45575</v>
      </c>
      <c r="C157" t="s">
        <v>204</v>
      </c>
      <c r="D157">
        <v>0</v>
      </c>
    </row>
    <row r="158" spans="1:4" x14ac:dyDescent="0.3">
      <c r="A158" s="2">
        <v>45575.305555555555</v>
      </c>
      <c r="B158" s="30">
        <v>45575</v>
      </c>
      <c r="C158" t="s">
        <v>204</v>
      </c>
      <c r="D158">
        <v>0</v>
      </c>
    </row>
    <row r="159" spans="1:4" x14ac:dyDescent="0.3">
      <c r="A159" s="2">
        <v>45575.3125</v>
      </c>
      <c r="B159" s="30">
        <v>45575</v>
      </c>
      <c r="C159" t="s">
        <v>204</v>
      </c>
      <c r="D159">
        <v>1</v>
      </c>
    </row>
    <row r="160" spans="1:4" x14ac:dyDescent="0.3">
      <c r="A160" s="2">
        <v>45575.319444444445</v>
      </c>
      <c r="B160" s="30">
        <v>45575</v>
      </c>
      <c r="C160" t="s">
        <v>204</v>
      </c>
      <c r="D160">
        <v>1</v>
      </c>
    </row>
    <row r="161" spans="1:4" x14ac:dyDescent="0.3">
      <c r="A161" s="2">
        <v>45575.326388888891</v>
      </c>
      <c r="B161" s="30">
        <v>45575</v>
      </c>
      <c r="C161" t="s">
        <v>204</v>
      </c>
      <c r="D161">
        <v>1</v>
      </c>
    </row>
    <row r="162" spans="1:4" x14ac:dyDescent="0.3">
      <c r="A162" s="2">
        <v>45575.333333333336</v>
      </c>
      <c r="B162" s="30">
        <v>45575</v>
      </c>
      <c r="C162" t="s">
        <v>205</v>
      </c>
      <c r="D162">
        <v>1</v>
      </c>
    </row>
    <row r="163" spans="1:4" x14ac:dyDescent="0.3">
      <c r="A163" s="2">
        <v>45575.340277777781</v>
      </c>
      <c r="B163" s="30">
        <v>45575</v>
      </c>
      <c r="C163" t="s">
        <v>205</v>
      </c>
      <c r="D163">
        <v>1</v>
      </c>
    </row>
    <row r="164" spans="1:4" x14ac:dyDescent="0.3">
      <c r="A164" s="2">
        <v>45575.347222222219</v>
      </c>
      <c r="B164" s="30">
        <v>45575</v>
      </c>
      <c r="C164" t="s">
        <v>205</v>
      </c>
      <c r="D164">
        <v>1</v>
      </c>
    </row>
    <row r="165" spans="1:4" x14ac:dyDescent="0.3">
      <c r="A165" s="2">
        <v>45575.354166666664</v>
      </c>
      <c r="B165" s="30">
        <v>45575</v>
      </c>
      <c r="C165" t="s">
        <v>205</v>
      </c>
      <c r="D165">
        <v>2</v>
      </c>
    </row>
    <row r="166" spans="1:4" x14ac:dyDescent="0.3">
      <c r="A166" s="2">
        <v>45575.361111111109</v>
      </c>
      <c r="B166" s="30">
        <v>45575</v>
      </c>
      <c r="C166" t="s">
        <v>205</v>
      </c>
      <c r="D166">
        <v>2</v>
      </c>
    </row>
    <row r="167" spans="1:4" x14ac:dyDescent="0.3">
      <c r="A167" s="2">
        <v>45575.368055555555</v>
      </c>
      <c r="B167" s="30">
        <v>45575</v>
      </c>
      <c r="C167" t="s">
        <v>205</v>
      </c>
      <c r="D167">
        <v>2</v>
      </c>
    </row>
    <row r="168" spans="1:4" x14ac:dyDescent="0.3">
      <c r="A168" s="2">
        <v>45575.375</v>
      </c>
      <c r="B168" s="30">
        <v>45575</v>
      </c>
      <c r="C168" t="s">
        <v>206</v>
      </c>
      <c r="D168">
        <v>3</v>
      </c>
    </row>
    <row r="169" spans="1:4" x14ac:dyDescent="0.3">
      <c r="A169" s="2">
        <v>45575.381944444445</v>
      </c>
      <c r="B169" s="30">
        <v>45575</v>
      </c>
      <c r="C169" t="s">
        <v>206</v>
      </c>
      <c r="D169">
        <v>3</v>
      </c>
    </row>
    <row r="170" spans="1:4" x14ac:dyDescent="0.3">
      <c r="A170" s="2">
        <v>45575.388888888891</v>
      </c>
      <c r="B170" s="30">
        <v>45575</v>
      </c>
      <c r="C170" t="s">
        <v>206</v>
      </c>
      <c r="D170">
        <v>3</v>
      </c>
    </row>
    <row r="171" spans="1:4" x14ac:dyDescent="0.3">
      <c r="A171" s="2">
        <v>45575.395833333336</v>
      </c>
      <c r="B171" s="30">
        <v>45575</v>
      </c>
      <c r="C171" t="s">
        <v>206</v>
      </c>
      <c r="D171">
        <v>3</v>
      </c>
    </row>
    <row r="172" spans="1:4" x14ac:dyDescent="0.3">
      <c r="A172" s="2">
        <v>45575.402777777781</v>
      </c>
      <c r="B172" s="30">
        <v>45575</v>
      </c>
      <c r="C172" t="s">
        <v>206</v>
      </c>
      <c r="D172">
        <v>4</v>
      </c>
    </row>
    <row r="173" spans="1:4" x14ac:dyDescent="0.3">
      <c r="A173" s="2">
        <v>45575.409722222219</v>
      </c>
      <c r="B173" s="30">
        <v>45575</v>
      </c>
      <c r="C173" t="s">
        <v>206</v>
      </c>
      <c r="D173">
        <v>3</v>
      </c>
    </row>
    <row r="174" spans="1:4" x14ac:dyDescent="0.3">
      <c r="A174" s="2">
        <v>45575.416666666664</v>
      </c>
      <c r="B174" s="30">
        <v>45575</v>
      </c>
      <c r="C174" t="s">
        <v>207</v>
      </c>
      <c r="D174">
        <v>3</v>
      </c>
    </row>
    <row r="175" spans="1:4" x14ac:dyDescent="0.3">
      <c r="A175" s="2">
        <v>45575.423611111109</v>
      </c>
      <c r="B175" s="30">
        <v>45575</v>
      </c>
      <c r="C175" t="s">
        <v>207</v>
      </c>
      <c r="D175">
        <v>3</v>
      </c>
    </row>
    <row r="176" spans="1:4" x14ac:dyDescent="0.3">
      <c r="A176" s="2">
        <v>45575.430555555555</v>
      </c>
      <c r="B176" s="30">
        <v>45575</v>
      </c>
      <c r="C176" t="s">
        <v>207</v>
      </c>
      <c r="D176">
        <v>4</v>
      </c>
    </row>
    <row r="177" spans="1:4" x14ac:dyDescent="0.3">
      <c r="A177" s="2">
        <v>45575.4375</v>
      </c>
      <c r="B177" s="30">
        <v>45575</v>
      </c>
      <c r="C177" t="s">
        <v>207</v>
      </c>
      <c r="D177">
        <v>4</v>
      </c>
    </row>
    <row r="178" spans="1:4" x14ac:dyDescent="0.3">
      <c r="A178" s="2">
        <v>45575.444444444445</v>
      </c>
      <c r="B178" s="30">
        <v>45575</v>
      </c>
      <c r="C178" t="s">
        <v>207</v>
      </c>
      <c r="D178">
        <v>4</v>
      </c>
    </row>
    <row r="179" spans="1:4" x14ac:dyDescent="0.3">
      <c r="A179" s="2">
        <v>45575.451388888891</v>
      </c>
      <c r="B179" s="30">
        <v>45575</v>
      </c>
      <c r="C179" t="s">
        <v>207</v>
      </c>
      <c r="D179">
        <v>4</v>
      </c>
    </row>
    <row r="180" spans="1:4" x14ac:dyDescent="0.3">
      <c r="A180" s="2">
        <v>45575.458333333336</v>
      </c>
      <c r="B180" s="30">
        <v>45575</v>
      </c>
      <c r="C180" t="s">
        <v>208</v>
      </c>
      <c r="D180">
        <v>4</v>
      </c>
    </row>
    <row r="181" spans="1:4" x14ac:dyDescent="0.3">
      <c r="A181" s="2">
        <v>45575.465277777781</v>
      </c>
      <c r="B181" s="30">
        <v>45575</v>
      </c>
      <c r="C181" t="s">
        <v>208</v>
      </c>
      <c r="D181">
        <v>5</v>
      </c>
    </row>
    <row r="182" spans="1:4" x14ac:dyDescent="0.3">
      <c r="A182" s="2">
        <v>45575.472222222219</v>
      </c>
      <c r="B182" s="30">
        <v>45575</v>
      </c>
      <c r="C182" t="s">
        <v>208</v>
      </c>
      <c r="D182">
        <v>5</v>
      </c>
    </row>
    <row r="183" spans="1:4" x14ac:dyDescent="0.3">
      <c r="A183" s="2">
        <v>45575.479166666664</v>
      </c>
      <c r="B183" s="30">
        <v>45575</v>
      </c>
      <c r="C183" t="s">
        <v>208</v>
      </c>
      <c r="D183">
        <v>5</v>
      </c>
    </row>
    <row r="184" spans="1:4" x14ac:dyDescent="0.3">
      <c r="A184" s="2">
        <v>45575.486111111109</v>
      </c>
      <c r="B184" s="30">
        <v>45575</v>
      </c>
      <c r="C184" t="s">
        <v>208</v>
      </c>
      <c r="D184">
        <v>5</v>
      </c>
    </row>
    <row r="185" spans="1:4" x14ac:dyDescent="0.3">
      <c r="A185" s="2">
        <v>45575.493055555555</v>
      </c>
      <c r="B185" s="30">
        <v>45575</v>
      </c>
      <c r="C185" t="s">
        <v>208</v>
      </c>
      <c r="D185">
        <v>5</v>
      </c>
    </row>
    <row r="186" spans="1:4" x14ac:dyDescent="0.3">
      <c r="A186" s="2">
        <v>45575.5</v>
      </c>
      <c r="B186" s="30">
        <v>45575</v>
      </c>
      <c r="C186" t="s">
        <v>209</v>
      </c>
      <c r="D186">
        <v>5</v>
      </c>
    </row>
    <row r="187" spans="1:4" x14ac:dyDescent="0.3">
      <c r="A187" s="2">
        <v>45575.506944444445</v>
      </c>
      <c r="B187" s="30">
        <v>45575</v>
      </c>
      <c r="C187" t="s">
        <v>209</v>
      </c>
      <c r="D187">
        <v>5</v>
      </c>
    </row>
    <row r="188" spans="1:4" x14ac:dyDescent="0.3">
      <c r="A188" s="2">
        <v>45575.513888888891</v>
      </c>
      <c r="B188" s="30">
        <v>45575</v>
      </c>
      <c r="C188" t="s">
        <v>209</v>
      </c>
      <c r="D188">
        <v>5</v>
      </c>
    </row>
    <row r="189" spans="1:4" x14ac:dyDescent="0.3">
      <c r="A189" s="2">
        <v>45575.520833333336</v>
      </c>
      <c r="B189" s="30">
        <v>45575</v>
      </c>
      <c r="C189" t="s">
        <v>209</v>
      </c>
      <c r="D189">
        <v>5</v>
      </c>
    </row>
    <row r="190" spans="1:4" x14ac:dyDescent="0.3">
      <c r="A190" s="2">
        <v>45575.527777777781</v>
      </c>
      <c r="B190" s="30">
        <v>45575</v>
      </c>
      <c r="C190" t="s">
        <v>209</v>
      </c>
      <c r="D190">
        <v>4</v>
      </c>
    </row>
    <row r="191" spans="1:4" x14ac:dyDescent="0.3">
      <c r="A191" s="2">
        <v>45575.534722222219</v>
      </c>
      <c r="B191" s="30">
        <v>45575</v>
      </c>
      <c r="C191" t="s">
        <v>209</v>
      </c>
      <c r="D191">
        <v>3</v>
      </c>
    </row>
    <row r="192" spans="1:4" x14ac:dyDescent="0.3">
      <c r="A192" s="2">
        <v>45575.541666666664</v>
      </c>
      <c r="B192" s="30">
        <v>45575</v>
      </c>
      <c r="C192" t="s">
        <v>210</v>
      </c>
      <c r="D192">
        <v>3</v>
      </c>
    </row>
    <row r="193" spans="1:4" x14ac:dyDescent="0.3">
      <c r="A193" s="2">
        <v>45575.548611111109</v>
      </c>
      <c r="B193" s="30">
        <v>45575</v>
      </c>
      <c r="C193" t="s">
        <v>210</v>
      </c>
      <c r="D193">
        <v>2</v>
      </c>
    </row>
    <row r="194" spans="1:4" x14ac:dyDescent="0.3">
      <c r="A194" s="2">
        <v>45575.555555555555</v>
      </c>
      <c r="B194" s="30">
        <v>45575</v>
      </c>
      <c r="C194" t="s">
        <v>210</v>
      </c>
      <c r="D194">
        <v>5</v>
      </c>
    </row>
    <row r="195" spans="1:4" x14ac:dyDescent="0.3">
      <c r="A195" s="2">
        <v>45575.5625</v>
      </c>
      <c r="B195" s="30">
        <v>45575</v>
      </c>
      <c r="C195" t="s">
        <v>210</v>
      </c>
      <c r="D195">
        <v>6</v>
      </c>
    </row>
    <row r="196" spans="1:4" x14ac:dyDescent="0.3">
      <c r="A196" s="2">
        <v>45575.569444444445</v>
      </c>
      <c r="B196" s="30">
        <v>45575</v>
      </c>
      <c r="C196" t="s">
        <v>210</v>
      </c>
      <c r="D196">
        <v>6</v>
      </c>
    </row>
    <row r="197" spans="1:4" x14ac:dyDescent="0.3">
      <c r="A197" s="2">
        <v>45575.576388888891</v>
      </c>
      <c r="B197" s="30">
        <v>45575</v>
      </c>
      <c r="C197" t="s">
        <v>210</v>
      </c>
      <c r="D197">
        <v>6</v>
      </c>
    </row>
    <row r="198" spans="1:4" x14ac:dyDescent="0.3">
      <c r="A198" s="2">
        <v>45575.583333333336</v>
      </c>
      <c r="B198" s="30">
        <v>45575</v>
      </c>
      <c r="C198" t="s">
        <v>211</v>
      </c>
      <c r="D198">
        <v>6</v>
      </c>
    </row>
    <row r="199" spans="1:4" x14ac:dyDescent="0.3">
      <c r="A199" s="2">
        <v>45575.590277777781</v>
      </c>
      <c r="B199" s="30">
        <v>45575</v>
      </c>
      <c r="C199" t="s">
        <v>211</v>
      </c>
      <c r="D199">
        <v>6</v>
      </c>
    </row>
    <row r="200" spans="1:4" x14ac:dyDescent="0.3">
      <c r="A200" s="2">
        <v>45575.597222222219</v>
      </c>
      <c r="B200" s="30">
        <v>45575</v>
      </c>
      <c r="C200" t="s">
        <v>211</v>
      </c>
      <c r="D200">
        <v>6</v>
      </c>
    </row>
    <row r="201" spans="1:4" x14ac:dyDescent="0.3">
      <c r="A201" s="2">
        <v>45575.604166666664</v>
      </c>
      <c r="B201" s="30">
        <v>45575</v>
      </c>
      <c r="C201" t="s">
        <v>211</v>
      </c>
      <c r="D201">
        <v>6</v>
      </c>
    </row>
    <row r="202" spans="1:4" x14ac:dyDescent="0.3">
      <c r="A202" s="2">
        <v>45575.611111111109</v>
      </c>
      <c r="B202" s="30">
        <v>45575</v>
      </c>
      <c r="C202" t="s">
        <v>211</v>
      </c>
      <c r="D202">
        <v>6</v>
      </c>
    </row>
    <row r="203" spans="1:4" x14ac:dyDescent="0.3">
      <c r="A203" s="2">
        <v>45575.618055555555</v>
      </c>
      <c r="B203" s="30">
        <v>45575</v>
      </c>
      <c r="C203" t="s">
        <v>211</v>
      </c>
      <c r="D203">
        <v>6</v>
      </c>
    </row>
    <row r="204" spans="1:4" x14ac:dyDescent="0.3">
      <c r="A204" s="2">
        <v>45575.625</v>
      </c>
      <c r="B204" s="30">
        <v>45575</v>
      </c>
      <c r="C204" t="s">
        <v>212</v>
      </c>
      <c r="D204">
        <v>7</v>
      </c>
    </row>
    <row r="205" spans="1:4" x14ac:dyDescent="0.3">
      <c r="A205" s="2">
        <v>45575.631944444445</v>
      </c>
      <c r="B205" s="30">
        <v>45575</v>
      </c>
      <c r="C205" t="s">
        <v>212</v>
      </c>
      <c r="D205">
        <v>7</v>
      </c>
    </row>
    <row r="206" spans="1:4" x14ac:dyDescent="0.3">
      <c r="A206" s="2">
        <v>45575.638888888891</v>
      </c>
      <c r="B206" s="30">
        <v>45575</v>
      </c>
      <c r="C206" t="s">
        <v>212</v>
      </c>
      <c r="D206">
        <v>7</v>
      </c>
    </row>
    <row r="207" spans="1:4" x14ac:dyDescent="0.3">
      <c r="A207" s="2">
        <v>45575.645833333336</v>
      </c>
      <c r="B207" s="30">
        <v>45575</v>
      </c>
      <c r="C207" t="s">
        <v>212</v>
      </c>
      <c r="D207">
        <v>7</v>
      </c>
    </row>
    <row r="208" spans="1:4" x14ac:dyDescent="0.3">
      <c r="A208" s="2">
        <v>45575.652777777781</v>
      </c>
      <c r="B208" s="30">
        <v>45575</v>
      </c>
      <c r="C208" t="s">
        <v>212</v>
      </c>
      <c r="D208">
        <v>7</v>
      </c>
    </row>
    <row r="209" spans="1:4" x14ac:dyDescent="0.3">
      <c r="A209" s="2">
        <v>45575.659722222219</v>
      </c>
      <c r="B209" s="30">
        <v>45575</v>
      </c>
      <c r="C209" t="s">
        <v>212</v>
      </c>
      <c r="D209">
        <v>7</v>
      </c>
    </row>
    <row r="210" spans="1:4" x14ac:dyDescent="0.3">
      <c r="A210" s="2">
        <v>45575.666666666664</v>
      </c>
      <c r="B210" s="30">
        <v>45575</v>
      </c>
      <c r="C210" t="s">
        <v>213</v>
      </c>
      <c r="D210">
        <v>6</v>
      </c>
    </row>
    <row r="211" spans="1:4" x14ac:dyDescent="0.3">
      <c r="A211" s="2">
        <v>45575.673611111109</v>
      </c>
      <c r="B211" s="30">
        <v>45575</v>
      </c>
      <c r="C211" t="s">
        <v>213</v>
      </c>
      <c r="D211">
        <v>6</v>
      </c>
    </row>
    <row r="212" spans="1:4" x14ac:dyDescent="0.3">
      <c r="A212" s="2">
        <v>45575.680555555555</v>
      </c>
      <c r="B212" s="30">
        <v>45575</v>
      </c>
      <c r="C212" t="s">
        <v>213</v>
      </c>
      <c r="D212">
        <v>6</v>
      </c>
    </row>
    <row r="213" spans="1:4" x14ac:dyDescent="0.3">
      <c r="A213" s="2">
        <v>45575.6875</v>
      </c>
      <c r="B213" s="30">
        <v>45575</v>
      </c>
      <c r="C213" t="s">
        <v>213</v>
      </c>
      <c r="D213">
        <v>6</v>
      </c>
    </row>
    <row r="214" spans="1:4" x14ac:dyDescent="0.3">
      <c r="A214" s="2">
        <v>45575.694444444445</v>
      </c>
      <c r="B214" s="30">
        <v>45575</v>
      </c>
      <c r="C214" t="s">
        <v>213</v>
      </c>
      <c r="D214">
        <v>6</v>
      </c>
    </row>
    <row r="215" spans="1:4" x14ac:dyDescent="0.3">
      <c r="A215" s="2">
        <v>45575.701388888891</v>
      </c>
      <c r="B215" s="30">
        <v>45575</v>
      </c>
      <c r="C215" t="s">
        <v>213</v>
      </c>
      <c r="D215">
        <v>6</v>
      </c>
    </row>
    <row r="216" spans="1:4" x14ac:dyDescent="0.3">
      <c r="A216" s="2">
        <v>45575.708333333336</v>
      </c>
      <c r="B216" s="30">
        <v>45575</v>
      </c>
      <c r="C216" t="s">
        <v>174</v>
      </c>
      <c r="D216">
        <v>5</v>
      </c>
    </row>
    <row r="217" spans="1:4" x14ac:dyDescent="0.3">
      <c r="A217" s="2">
        <v>45575.715277777781</v>
      </c>
      <c r="B217" s="30">
        <v>45575</v>
      </c>
      <c r="C217" t="s">
        <v>174</v>
      </c>
      <c r="D217">
        <v>5</v>
      </c>
    </row>
    <row r="218" spans="1:4" x14ac:dyDescent="0.3">
      <c r="A218" s="2">
        <v>45575.722222222219</v>
      </c>
      <c r="B218" s="30">
        <v>45575</v>
      </c>
      <c r="C218" t="s">
        <v>174</v>
      </c>
      <c r="D218">
        <v>5</v>
      </c>
    </row>
    <row r="219" spans="1:4" x14ac:dyDescent="0.3">
      <c r="A219" s="2">
        <v>45575.729166666664</v>
      </c>
      <c r="B219" s="30">
        <v>45575</v>
      </c>
      <c r="C219" t="s">
        <v>174</v>
      </c>
      <c r="D219">
        <v>4</v>
      </c>
    </row>
    <row r="220" spans="1:4" x14ac:dyDescent="0.3">
      <c r="A220" s="2">
        <v>45575.734756944446</v>
      </c>
      <c r="B220" s="30">
        <v>45575</v>
      </c>
      <c r="C220" t="s">
        <v>174</v>
      </c>
      <c r="D220">
        <v>1</v>
      </c>
    </row>
    <row r="221" spans="1:4" x14ac:dyDescent="0.3">
      <c r="A221" s="2">
        <v>45575.736111111109</v>
      </c>
      <c r="B221" s="30">
        <v>45575</v>
      </c>
      <c r="C221" t="s">
        <v>174</v>
      </c>
      <c r="D221">
        <v>1</v>
      </c>
    </row>
    <row r="222" spans="1:4" x14ac:dyDescent="0.3">
      <c r="A222" s="2">
        <v>45575.743055555555</v>
      </c>
      <c r="B222" s="30">
        <v>45575</v>
      </c>
      <c r="C222" t="s">
        <v>174</v>
      </c>
      <c r="D222">
        <v>1</v>
      </c>
    </row>
    <row r="223" spans="1:4" x14ac:dyDescent="0.3">
      <c r="A223" s="2">
        <v>45575.75</v>
      </c>
      <c r="B223" s="30">
        <v>45575</v>
      </c>
      <c r="C223" t="s">
        <v>175</v>
      </c>
      <c r="D223">
        <v>1</v>
      </c>
    </row>
    <row r="224" spans="1:4" x14ac:dyDescent="0.3">
      <c r="A224" s="2">
        <v>45575.756944444445</v>
      </c>
      <c r="B224" s="30">
        <v>45575</v>
      </c>
      <c r="C224" t="s">
        <v>175</v>
      </c>
      <c r="D224">
        <v>1</v>
      </c>
    </row>
    <row r="225" spans="1:4" x14ac:dyDescent="0.3">
      <c r="A225" s="2">
        <v>45575.763888888891</v>
      </c>
      <c r="B225" s="30">
        <v>45575</v>
      </c>
      <c r="C225" t="s">
        <v>175</v>
      </c>
      <c r="D225">
        <v>3</v>
      </c>
    </row>
    <row r="226" spans="1:4" x14ac:dyDescent="0.3">
      <c r="A226" s="2">
        <v>45575.770833333336</v>
      </c>
      <c r="B226" s="30">
        <v>45575</v>
      </c>
      <c r="C226" t="s">
        <v>175</v>
      </c>
      <c r="D226">
        <v>2</v>
      </c>
    </row>
    <row r="227" spans="1:4" x14ac:dyDescent="0.3">
      <c r="A227" s="2">
        <v>45575.777777777781</v>
      </c>
      <c r="B227" s="30">
        <v>45575</v>
      </c>
      <c r="C227" t="s">
        <v>175</v>
      </c>
      <c r="D227">
        <v>2</v>
      </c>
    </row>
    <row r="228" spans="1:4" x14ac:dyDescent="0.3">
      <c r="A228" s="2">
        <v>45575.784722222219</v>
      </c>
      <c r="B228" s="30">
        <v>45575</v>
      </c>
      <c r="C228" t="s">
        <v>175</v>
      </c>
      <c r="D228">
        <v>2</v>
      </c>
    </row>
    <row r="229" spans="1:4" x14ac:dyDescent="0.3">
      <c r="A229" s="2">
        <v>45575.791666666664</v>
      </c>
      <c r="B229" s="30">
        <v>45575</v>
      </c>
      <c r="C229" t="s">
        <v>192</v>
      </c>
      <c r="D229">
        <v>2</v>
      </c>
    </row>
    <row r="230" spans="1:4" x14ac:dyDescent="0.3">
      <c r="A230" s="2">
        <v>45575.798611111109</v>
      </c>
      <c r="B230" s="30">
        <v>45575</v>
      </c>
      <c r="C230" t="s">
        <v>192</v>
      </c>
      <c r="D230">
        <v>1</v>
      </c>
    </row>
    <row r="231" spans="1:4" x14ac:dyDescent="0.3">
      <c r="A231" s="2">
        <v>45575.805555555555</v>
      </c>
      <c r="B231" s="30">
        <v>45575</v>
      </c>
      <c r="C231" t="s">
        <v>192</v>
      </c>
      <c r="D231">
        <v>1</v>
      </c>
    </row>
    <row r="232" spans="1:4" x14ac:dyDescent="0.3">
      <c r="A232" s="2">
        <v>45575.8125</v>
      </c>
      <c r="B232" s="30">
        <v>45575</v>
      </c>
      <c r="C232" t="s">
        <v>192</v>
      </c>
      <c r="D232">
        <v>1</v>
      </c>
    </row>
    <row r="233" spans="1:4" x14ac:dyDescent="0.3">
      <c r="A233" s="2">
        <v>45575.819444444445</v>
      </c>
      <c r="B233" s="30">
        <v>45575</v>
      </c>
      <c r="C233" t="s">
        <v>192</v>
      </c>
      <c r="D233">
        <v>0</v>
      </c>
    </row>
    <row r="234" spans="1:4" x14ac:dyDescent="0.3">
      <c r="A234" s="2">
        <v>45575.826388888891</v>
      </c>
      <c r="B234" s="30">
        <v>45575</v>
      </c>
      <c r="C234" t="s">
        <v>192</v>
      </c>
      <c r="D234">
        <v>0</v>
      </c>
    </row>
    <row r="235" spans="1:4" x14ac:dyDescent="0.3">
      <c r="A235" s="2">
        <v>45575.833333333336</v>
      </c>
      <c r="B235" s="30">
        <v>45575</v>
      </c>
      <c r="C235" t="s">
        <v>193</v>
      </c>
      <c r="D235">
        <v>0</v>
      </c>
    </row>
    <row r="236" spans="1:4" x14ac:dyDescent="0.3">
      <c r="A236" s="2">
        <v>45575.840277777781</v>
      </c>
      <c r="B236" s="30">
        <v>45575</v>
      </c>
      <c r="C236" t="s">
        <v>193</v>
      </c>
      <c r="D236">
        <v>0</v>
      </c>
    </row>
    <row r="237" spans="1:4" x14ac:dyDescent="0.3">
      <c r="A237" s="2">
        <v>45575.847222222219</v>
      </c>
      <c r="B237" s="30">
        <v>45575</v>
      </c>
      <c r="C237" t="s">
        <v>193</v>
      </c>
      <c r="D237">
        <v>0</v>
      </c>
    </row>
    <row r="238" spans="1:4" x14ac:dyDescent="0.3">
      <c r="A238" s="2">
        <v>45575.854166666664</v>
      </c>
      <c r="B238" s="30">
        <v>45575</v>
      </c>
      <c r="C238" t="s">
        <v>193</v>
      </c>
      <c r="D238">
        <v>0</v>
      </c>
    </row>
    <row r="239" spans="1:4" x14ac:dyDescent="0.3">
      <c r="A239" s="2">
        <v>45575.861111111109</v>
      </c>
      <c r="B239" s="30">
        <v>45575</v>
      </c>
      <c r="C239" t="s">
        <v>193</v>
      </c>
      <c r="D239">
        <v>0</v>
      </c>
    </row>
    <row r="240" spans="1:4" x14ac:dyDescent="0.3">
      <c r="A240" s="2">
        <v>45575.868067129632</v>
      </c>
      <c r="B240" s="30">
        <v>45575</v>
      </c>
      <c r="C240" t="s">
        <v>193</v>
      </c>
      <c r="D240">
        <v>0</v>
      </c>
    </row>
    <row r="241" spans="1:4" x14ac:dyDescent="0.3">
      <c r="A241" s="2">
        <v>45575.875011574077</v>
      </c>
      <c r="B241" s="30">
        <v>45575</v>
      </c>
      <c r="C241" t="s">
        <v>194</v>
      </c>
      <c r="D241">
        <v>0</v>
      </c>
    </row>
    <row r="242" spans="1:4" x14ac:dyDescent="0.3">
      <c r="A242" s="2">
        <v>45575.881944444445</v>
      </c>
      <c r="B242" s="30">
        <v>45575</v>
      </c>
      <c r="C242" t="s">
        <v>194</v>
      </c>
      <c r="D242">
        <v>0</v>
      </c>
    </row>
    <row r="243" spans="1:4" x14ac:dyDescent="0.3">
      <c r="A243" s="2">
        <v>45575.88890046296</v>
      </c>
      <c r="B243" s="30">
        <v>45575</v>
      </c>
      <c r="C243" t="s">
        <v>194</v>
      </c>
      <c r="D243">
        <v>0</v>
      </c>
    </row>
    <row r="244" spans="1:4" x14ac:dyDescent="0.3">
      <c r="A244" s="2">
        <v>45575.895844907405</v>
      </c>
      <c r="B244" s="30">
        <v>45575</v>
      </c>
      <c r="C244" t="s">
        <v>194</v>
      </c>
      <c r="D244">
        <v>0</v>
      </c>
    </row>
    <row r="245" spans="1:4" x14ac:dyDescent="0.3">
      <c r="A245" s="2">
        <v>45575.902777777781</v>
      </c>
      <c r="B245" s="30">
        <v>45575</v>
      </c>
      <c r="C245" t="s">
        <v>194</v>
      </c>
      <c r="D245">
        <v>0</v>
      </c>
    </row>
    <row r="246" spans="1:4" x14ac:dyDescent="0.3">
      <c r="A246" s="2">
        <v>45575.909722222219</v>
      </c>
      <c r="B246" s="30">
        <v>45575</v>
      </c>
      <c r="C246" t="s">
        <v>194</v>
      </c>
      <c r="D246">
        <v>0</v>
      </c>
    </row>
    <row r="247" spans="1:4" x14ac:dyDescent="0.3">
      <c r="A247" s="2">
        <v>45575.916666666664</v>
      </c>
      <c r="B247" s="30">
        <v>45575</v>
      </c>
      <c r="C247" t="s">
        <v>195</v>
      </c>
      <c r="D247">
        <v>0</v>
      </c>
    </row>
    <row r="248" spans="1:4" x14ac:dyDescent="0.3">
      <c r="A248" s="2">
        <v>45575.923611111109</v>
      </c>
      <c r="B248" s="30">
        <v>45575</v>
      </c>
      <c r="C248" t="s">
        <v>195</v>
      </c>
      <c r="D248">
        <v>0</v>
      </c>
    </row>
    <row r="249" spans="1:4" x14ac:dyDescent="0.3">
      <c r="A249" s="2">
        <v>45575.930555555555</v>
      </c>
      <c r="B249" s="30">
        <v>45575</v>
      </c>
      <c r="C249" t="s">
        <v>195</v>
      </c>
      <c r="D249">
        <v>0</v>
      </c>
    </row>
    <row r="250" spans="1:4" x14ac:dyDescent="0.3">
      <c r="A250" s="2">
        <v>45575.9375</v>
      </c>
      <c r="B250" s="30">
        <v>45575</v>
      </c>
      <c r="C250" t="s">
        <v>195</v>
      </c>
      <c r="D250">
        <v>0</v>
      </c>
    </row>
    <row r="251" spans="1:4" x14ac:dyDescent="0.3">
      <c r="A251" s="2">
        <v>45575.944444444445</v>
      </c>
      <c r="B251" s="30">
        <v>45575</v>
      </c>
      <c r="C251" t="s">
        <v>195</v>
      </c>
      <c r="D251">
        <v>0</v>
      </c>
    </row>
    <row r="252" spans="1:4" x14ac:dyDescent="0.3">
      <c r="A252" s="2">
        <v>45575.951388888891</v>
      </c>
      <c r="B252" s="30">
        <v>45575</v>
      </c>
      <c r="C252" t="s">
        <v>195</v>
      </c>
      <c r="D252">
        <v>0</v>
      </c>
    </row>
    <row r="253" spans="1:4" x14ac:dyDescent="0.3">
      <c r="A253" s="2">
        <v>45575.958333333336</v>
      </c>
      <c r="B253" s="30">
        <v>45575</v>
      </c>
      <c r="C253" t="s">
        <v>196</v>
      </c>
      <c r="D253">
        <v>0</v>
      </c>
    </row>
    <row r="254" spans="1:4" x14ac:dyDescent="0.3">
      <c r="A254" s="2">
        <v>45575.965277777781</v>
      </c>
      <c r="B254" s="30">
        <v>45575</v>
      </c>
      <c r="C254" t="s">
        <v>196</v>
      </c>
      <c r="D254">
        <v>0</v>
      </c>
    </row>
    <row r="255" spans="1:4" x14ac:dyDescent="0.3">
      <c r="A255" s="2">
        <v>45575.972222222219</v>
      </c>
      <c r="B255" s="30">
        <v>45575</v>
      </c>
      <c r="C255" t="s">
        <v>196</v>
      </c>
      <c r="D255">
        <v>0</v>
      </c>
    </row>
    <row r="256" spans="1:4" x14ac:dyDescent="0.3">
      <c r="A256" s="2">
        <v>45575.979166666664</v>
      </c>
      <c r="B256" s="30">
        <v>45575</v>
      </c>
      <c r="C256" t="s">
        <v>196</v>
      </c>
      <c r="D256">
        <v>0</v>
      </c>
    </row>
    <row r="257" spans="1:4" x14ac:dyDescent="0.3">
      <c r="A257" s="2">
        <v>45575.986111111109</v>
      </c>
      <c r="B257" s="30">
        <v>45575</v>
      </c>
      <c r="C257" t="s">
        <v>196</v>
      </c>
      <c r="D257">
        <v>0</v>
      </c>
    </row>
    <row r="258" spans="1:4" x14ac:dyDescent="0.3">
      <c r="A258" s="2">
        <v>45575.993055555555</v>
      </c>
      <c r="B258" s="30">
        <v>45575</v>
      </c>
      <c r="C258" t="s">
        <v>196</v>
      </c>
      <c r="D258">
        <v>0</v>
      </c>
    </row>
    <row r="259" spans="1:4" x14ac:dyDescent="0.3">
      <c r="A259" s="2">
        <v>45576</v>
      </c>
      <c r="B259" s="30">
        <v>45576</v>
      </c>
      <c r="C259" t="s">
        <v>197</v>
      </c>
      <c r="D259">
        <v>0</v>
      </c>
    </row>
    <row r="260" spans="1:4" x14ac:dyDescent="0.3">
      <c r="A260" s="2">
        <v>45576.006944444445</v>
      </c>
      <c r="B260" s="30">
        <v>45576</v>
      </c>
      <c r="C260" t="s">
        <v>197</v>
      </c>
      <c r="D260">
        <v>0</v>
      </c>
    </row>
    <row r="261" spans="1:4" x14ac:dyDescent="0.3">
      <c r="A261" s="2">
        <v>45576.013888888891</v>
      </c>
      <c r="B261" s="30">
        <v>45576</v>
      </c>
      <c r="C261" t="s">
        <v>197</v>
      </c>
      <c r="D261">
        <v>0</v>
      </c>
    </row>
    <row r="262" spans="1:4" x14ac:dyDescent="0.3">
      <c r="A262" s="2">
        <v>45576.020833333336</v>
      </c>
      <c r="B262" s="30">
        <v>45576</v>
      </c>
      <c r="C262" t="s">
        <v>197</v>
      </c>
      <c r="D262">
        <v>0</v>
      </c>
    </row>
    <row r="263" spans="1:4" x14ac:dyDescent="0.3">
      <c r="A263" s="2">
        <v>45576.027777777781</v>
      </c>
      <c r="B263" s="30">
        <v>45576</v>
      </c>
      <c r="C263" t="s">
        <v>197</v>
      </c>
      <c r="D263">
        <v>0</v>
      </c>
    </row>
    <row r="264" spans="1:4" x14ac:dyDescent="0.3">
      <c r="A264" s="2">
        <v>45576.034722222219</v>
      </c>
      <c r="B264" s="30">
        <v>45576</v>
      </c>
      <c r="C264" t="s">
        <v>197</v>
      </c>
      <c r="D264">
        <v>0</v>
      </c>
    </row>
    <row r="265" spans="1:4" x14ac:dyDescent="0.3">
      <c r="A265" s="2">
        <v>45576.041666666664</v>
      </c>
      <c r="B265" s="30">
        <v>45576</v>
      </c>
      <c r="C265" t="s">
        <v>198</v>
      </c>
      <c r="D265">
        <v>0</v>
      </c>
    </row>
    <row r="266" spans="1:4" x14ac:dyDescent="0.3">
      <c r="A266" s="2">
        <v>45576.048611111109</v>
      </c>
      <c r="B266" s="30">
        <v>45576</v>
      </c>
      <c r="C266" t="s">
        <v>198</v>
      </c>
      <c r="D266">
        <v>0</v>
      </c>
    </row>
    <row r="267" spans="1:4" x14ac:dyDescent="0.3">
      <c r="A267" s="2">
        <v>45576.055555555555</v>
      </c>
      <c r="B267" s="30">
        <v>45576</v>
      </c>
      <c r="C267" t="s">
        <v>198</v>
      </c>
      <c r="D267">
        <v>0</v>
      </c>
    </row>
    <row r="268" spans="1:4" x14ac:dyDescent="0.3">
      <c r="A268" s="2">
        <v>45576.0625</v>
      </c>
      <c r="B268" s="30">
        <v>45576</v>
      </c>
      <c r="C268" t="s">
        <v>198</v>
      </c>
      <c r="D268">
        <v>0</v>
      </c>
    </row>
    <row r="269" spans="1:4" x14ac:dyDescent="0.3">
      <c r="A269" s="2">
        <v>45576.069444444445</v>
      </c>
      <c r="B269" s="30">
        <v>45576</v>
      </c>
      <c r="C269" t="s">
        <v>198</v>
      </c>
      <c r="D269">
        <v>0</v>
      </c>
    </row>
    <row r="270" spans="1:4" x14ac:dyDescent="0.3">
      <c r="A270" s="2">
        <v>45576.076388888891</v>
      </c>
      <c r="B270" s="30">
        <v>45576</v>
      </c>
      <c r="C270" t="s">
        <v>198</v>
      </c>
      <c r="D270">
        <v>0</v>
      </c>
    </row>
    <row r="271" spans="1:4" x14ac:dyDescent="0.3">
      <c r="A271" s="2">
        <v>45576.083333333336</v>
      </c>
      <c r="B271" s="30">
        <v>45576</v>
      </c>
      <c r="C271" t="s">
        <v>199</v>
      </c>
      <c r="D271">
        <v>0</v>
      </c>
    </row>
    <row r="272" spans="1:4" x14ac:dyDescent="0.3">
      <c r="A272" s="2">
        <v>45576.090277777781</v>
      </c>
      <c r="B272" s="30">
        <v>45576</v>
      </c>
      <c r="C272" t="s">
        <v>199</v>
      </c>
      <c r="D272">
        <v>0</v>
      </c>
    </row>
    <row r="273" spans="1:4" x14ac:dyDescent="0.3">
      <c r="A273" s="2">
        <v>45576.097222222219</v>
      </c>
      <c r="B273" s="30">
        <v>45576</v>
      </c>
      <c r="C273" t="s">
        <v>199</v>
      </c>
      <c r="D273">
        <v>0</v>
      </c>
    </row>
    <row r="274" spans="1:4" x14ac:dyDescent="0.3">
      <c r="A274" s="2">
        <v>45576.104166666664</v>
      </c>
      <c r="B274" s="30">
        <v>45576</v>
      </c>
      <c r="C274" t="s">
        <v>199</v>
      </c>
      <c r="D274">
        <v>0</v>
      </c>
    </row>
    <row r="275" spans="1:4" x14ac:dyDescent="0.3">
      <c r="A275" s="2">
        <v>45576.111111111109</v>
      </c>
      <c r="B275" s="30">
        <v>45576</v>
      </c>
      <c r="C275" t="s">
        <v>199</v>
      </c>
      <c r="D275">
        <v>0</v>
      </c>
    </row>
    <row r="276" spans="1:4" x14ac:dyDescent="0.3">
      <c r="A276" s="2">
        <v>45576.118055555555</v>
      </c>
      <c r="B276" s="30">
        <v>45576</v>
      </c>
      <c r="C276" t="s">
        <v>199</v>
      </c>
      <c r="D276">
        <v>0</v>
      </c>
    </row>
    <row r="277" spans="1:4" x14ac:dyDescent="0.3">
      <c r="A277" s="2">
        <v>45576.125</v>
      </c>
      <c r="B277" s="30">
        <v>45576</v>
      </c>
      <c r="C277" t="s">
        <v>200</v>
      </c>
      <c r="D277">
        <v>0</v>
      </c>
    </row>
    <row r="278" spans="1:4" x14ac:dyDescent="0.3">
      <c r="A278" s="2">
        <v>45576.131944444445</v>
      </c>
      <c r="B278" s="30">
        <v>45576</v>
      </c>
      <c r="C278" t="s">
        <v>200</v>
      </c>
      <c r="D278">
        <v>0</v>
      </c>
    </row>
    <row r="279" spans="1:4" x14ac:dyDescent="0.3">
      <c r="A279" s="2">
        <v>45576.138888888891</v>
      </c>
      <c r="B279" s="30">
        <v>45576</v>
      </c>
      <c r="C279" t="s">
        <v>200</v>
      </c>
      <c r="D279">
        <v>0</v>
      </c>
    </row>
    <row r="280" spans="1:4" x14ac:dyDescent="0.3">
      <c r="A280" s="2">
        <v>45576.145833333336</v>
      </c>
      <c r="B280" s="30">
        <v>45576</v>
      </c>
      <c r="C280" t="s">
        <v>200</v>
      </c>
      <c r="D280">
        <v>0</v>
      </c>
    </row>
    <row r="281" spans="1:4" x14ac:dyDescent="0.3">
      <c r="A281" s="2">
        <v>45576.152777777781</v>
      </c>
      <c r="B281" s="30">
        <v>45576</v>
      </c>
      <c r="C281" t="s">
        <v>200</v>
      </c>
      <c r="D281">
        <v>0</v>
      </c>
    </row>
    <row r="282" spans="1:4" x14ac:dyDescent="0.3">
      <c r="A282" s="2">
        <v>45576.159722222219</v>
      </c>
      <c r="B282" s="30">
        <v>45576</v>
      </c>
      <c r="C282" t="s">
        <v>200</v>
      </c>
      <c r="D282">
        <v>0</v>
      </c>
    </row>
    <row r="283" spans="1:4" x14ac:dyDescent="0.3">
      <c r="A283" s="2">
        <v>45576.166666666664</v>
      </c>
      <c r="B283" s="30">
        <v>45576</v>
      </c>
      <c r="C283" t="s">
        <v>201</v>
      </c>
      <c r="D283">
        <v>0</v>
      </c>
    </row>
    <row r="284" spans="1:4" x14ac:dyDescent="0.3">
      <c r="A284" s="2">
        <v>45576.173611111109</v>
      </c>
      <c r="B284" s="30">
        <v>45576</v>
      </c>
      <c r="C284" t="s">
        <v>201</v>
      </c>
      <c r="D284">
        <v>0</v>
      </c>
    </row>
    <row r="285" spans="1:4" x14ac:dyDescent="0.3">
      <c r="A285" s="2">
        <v>45576.180555555555</v>
      </c>
      <c r="B285" s="30">
        <v>45576</v>
      </c>
      <c r="C285" t="s">
        <v>201</v>
      </c>
      <c r="D285">
        <v>0</v>
      </c>
    </row>
    <row r="286" spans="1:4" x14ac:dyDescent="0.3">
      <c r="A286" s="2">
        <v>45576.1875</v>
      </c>
      <c r="B286" s="30">
        <v>45576</v>
      </c>
      <c r="C286" t="s">
        <v>201</v>
      </c>
      <c r="D286">
        <v>0</v>
      </c>
    </row>
    <row r="287" spans="1:4" x14ac:dyDescent="0.3">
      <c r="A287" s="2">
        <v>45576.194444444445</v>
      </c>
      <c r="B287" s="30">
        <v>45576</v>
      </c>
      <c r="C287" t="s">
        <v>201</v>
      </c>
      <c r="D287">
        <v>0</v>
      </c>
    </row>
    <row r="288" spans="1:4" x14ac:dyDescent="0.3">
      <c r="A288" s="2">
        <v>45576.201388888891</v>
      </c>
      <c r="B288" s="30">
        <v>45576</v>
      </c>
      <c r="C288" t="s">
        <v>201</v>
      </c>
      <c r="D288">
        <v>0</v>
      </c>
    </row>
    <row r="289" spans="1:4" x14ac:dyDescent="0.3">
      <c r="A289" s="2">
        <v>45576.208333333336</v>
      </c>
      <c r="B289" s="30">
        <v>45576</v>
      </c>
      <c r="C289" t="s">
        <v>202</v>
      </c>
      <c r="D289">
        <v>0</v>
      </c>
    </row>
    <row r="290" spans="1:4" x14ac:dyDescent="0.3">
      <c r="A290" s="2">
        <v>45576.215277777781</v>
      </c>
      <c r="B290" s="30">
        <v>45576</v>
      </c>
      <c r="C290" t="s">
        <v>202</v>
      </c>
      <c r="D290">
        <v>0</v>
      </c>
    </row>
    <row r="291" spans="1:4" x14ac:dyDescent="0.3">
      <c r="A291" s="2">
        <v>45576.222222222219</v>
      </c>
      <c r="B291" s="30">
        <v>45576</v>
      </c>
      <c r="C291" t="s">
        <v>202</v>
      </c>
      <c r="D291">
        <v>0</v>
      </c>
    </row>
    <row r="292" spans="1:4" x14ac:dyDescent="0.3">
      <c r="A292" s="2">
        <v>45576.229166666664</v>
      </c>
      <c r="B292" s="30">
        <v>45576</v>
      </c>
      <c r="C292" t="s">
        <v>202</v>
      </c>
      <c r="D292">
        <v>0</v>
      </c>
    </row>
    <row r="293" spans="1:4" x14ac:dyDescent="0.3">
      <c r="A293" s="2">
        <v>45576.236111111109</v>
      </c>
      <c r="B293" s="30">
        <v>45576</v>
      </c>
      <c r="C293" t="s">
        <v>202</v>
      </c>
      <c r="D293">
        <v>0</v>
      </c>
    </row>
    <row r="294" spans="1:4" x14ac:dyDescent="0.3">
      <c r="A294" s="2">
        <v>45576.243055555555</v>
      </c>
      <c r="B294" s="30">
        <v>45576</v>
      </c>
      <c r="C294" t="s">
        <v>202</v>
      </c>
      <c r="D294">
        <v>0</v>
      </c>
    </row>
    <row r="295" spans="1:4" x14ac:dyDescent="0.3">
      <c r="A295" s="2">
        <v>45576.25</v>
      </c>
      <c r="B295" s="30">
        <v>45576</v>
      </c>
      <c r="C295" t="s">
        <v>203</v>
      </c>
      <c r="D295">
        <v>0</v>
      </c>
    </row>
    <row r="296" spans="1:4" x14ac:dyDescent="0.3">
      <c r="A296" s="2">
        <v>45576.256944444445</v>
      </c>
      <c r="B296" s="30">
        <v>45576</v>
      </c>
      <c r="C296" t="s">
        <v>203</v>
      </c>
      <c r="D296">
        <v>0</v>
      </c>
    </row>
    <row r="297" spans="1:4" x14ac:dyDescent="0.3">
      <c r="A297" s="2">
        <v>45576.263888888891</v>
      </c>
      <c r="B297" s="30">
        <v>45576</v>
      </c>
      <c r="C297" t="s">
        <v>203</v>
      </c>
      <c r="D297">
        <v>0</v>
      </c>
    </row>
    <row r="298" spans="1:4" x14ac:dyDescent="0.3">
      <c r="A298" s="2">
        <v>45576.270833333336</v>
      </c>
      <c r="B298" s="30">
        <v>45576</v>
      </c>
      <c r="C298" t="s">
        <v>203</v>
      </c>
      <c r="D298">
        <v>0</v>
      </c>
    </row>
    <row r="299" spans="1:4" x14ac:dyDescent="0.3">
      <c r="A299" s="2">
        <v>45576.277777777781</v>
      </c>
      <c r="B299" s="30">
        <v>45576</v>
      </c>
      <c r="C299" t="s">
        <v>203</v>
      </c>
      <c r="D299">
        <v>0</v>
      </c>
    </row>
    <row r="300" spans="1:4" x14ac:dyDescent="0.3">
      <c r="A300" s="2">
        <v>45576.284722222219</v>
      </c>
      <c r="B300" s="30">
        <v>45576</v>
      </c>
      <c r="C300" t="s">
        <v>203</v>
      </c>
      <c r="D300">
        <v>0</v>
      </c>
    </row>
    <row r="301" spans="1:4" x14ac:dyDescent="0.3">
      <c r="A301" s="2">
        <v>45576.291666666664</v>
      </c>
      <c r="B301" s="30">
        <v>45576</v>
      </c>
      <c r="C301" t="s">
        <v>204</v>
      </c>
      <c r="D301">
        <v>0</v>
      </c>
    </row>
    <row r="302" spans="1:4" x14ac:dyDescent="0.3">
      <c r="A302" s="2">
        <v>45576.298611111109</v>
      </c>
      <c r="B302" s="30">
        <v>45576</v>
      </c>
      <c r="C302" t="s">
        <v>204</v>
      </c>
      <c r="D302">
        <v>0</v>
      </c>
    </row>
    <row r="303" spans="1:4" x14ac:dyDescent="0.3">
      <c r="A303" s="2">
        <v>45576.305555555555</v>
      </c>
      <c r="B303" s="30">
        <v>45576</v>
      </c>
      <c r="C303" t="s">
        <v>204</v>
      </c>
      <c r="D303">
        <v>0</v>
      </c>
    </row>
    <row r="304" spans="1:4" x14ac:dyDescent="0.3">
      <c r="A304" s="2">
        <v>45576.3125</v>
      </c>
      <c r="B304" s="30">
        <v>45576</v>
      </c>
      <c r="C304" t="s">
        <v>204</v>
      </c>
      <c r="D304">
        <v>0</v>
      </c>
    </row>
    <row r="305" spans="1:4" x14ac:dyDescent="0.3">
      <c r="A305" s="2">
        <v>45576.319444444445</v>
      </c>
      <c r="B305" s="30">
        <v>45576</v>
      </c>
      <c r="C305" t="s">
        <v>204</v>
      </c>
      <c r="D305">
        <v>0</v>
      </c>
    </row>
    <row r="306" spans="1:4" x14ac:dyDescent="0.3">
      <c r="A306" s="2">
        <v>45576.326388888891</v>
      </c>
      <c r="B306" s="30">
        <v>45576</v>
      </c>
      <c r="C306" t="s">
        <v>204</v>
      </c>
      <c r="D306">
        <v>0</v>
      </c>
    </row>
    <row r="307" spans="1:4" x14ac:dyDescent="0.3">
      <c r="A307" s="2">
        <v>45576.333333333336</v>
      </c>
      <c r="B307" s="30">
        <v>45576</v>
      </c>
      <c r="C307" t="s">
        <v>205</v>
      </c>
      <c r="D307">
        <v>0</v>
      </c>
    </row>
    <row r="308" spans="1:4" x14ac:dyDescent="0.3">
      <c r="A308" s="2">
        <v>45576.340277777781</v>
      </c>
      <c r="B308" s="30">
        <v>45576</v>
      </c>
      <c r="C308" t="s">
        <v>205</v>
      </c>
      <c r="D308">
        <v>1</v>
      </c>
    </row>
    <row r="309" spans="1:4" x14ac:dyDescent="0.3">
      <c r="A309" s="2">
        <v>45576.347222222219</v>
      </c>
      <c r="B309" s="30">
        <v>45576</v>
      </c>
      <c r="C309" t="s">
        <v>205</v>
      </c>
      <c r="D309">
        <v>1</v>
      </c>
    </row>
    <row r="310" spans="1:4" x14ac:dyDescent="0.3">
      <c r="A310" s="2">
        <v>45576.354166666664</v>
      </c>
      <c r="B310" s="30">
        <v>45576</v>
      </c>
      <c r="C310" t="s">
        <v>205</v>
      </c>
      <c r="D310">
        <v>2</v>
      </c>
    </row>
    <row r="311" spans="1:4" x14ac:dyDescent="0.3">
      <c r="A311" s="2">
        <v>45576.361111111109</v>
      </c>
      <c r="B311" s="30">
        <v>45576</v>
      </c>
      <c r="C311" t="s">
        <v>205</v>
      </c>
      <c r="D311">
        <v>2</v>
      </c>
    </row>
    <row r="312" spans="1:4" x14ac:dyDescent="0.3">
      <c r="A312" s="2">
        <v>45576.368055555555</v>
      </c>
      <c r="B312" s="30">
        <v>45576</v>
      </c>
      <c r="C312" t="s">
        <v>205</v>
      </c>
      <c r="D312">
        <v>2</v>
      </c>
    </row>
    <row r="313" spans="1:4" x14ac:dyDescent="0.3">
      <c r="A313" s="2">
        <v>45576.375</v>
      </c>
      <c r="B313" s="30">
        <v>45576</v>
      </c>
      <c r="C313" t="s">
        <v>206</v>
      </c>
      <c r="D313">
        <v>3</v>
      </c>
    </row>
    <row r="314" spans="1:4" x14ac:dyDescent="0.3">
      <c r="A314" s="2">
        <v>45576.381944444445</v>
      </c>
      <c r="B314" s="30">
        <v>45576</v>
      </c>
      <c r="C314" t="s">
        <v>206</v>
      </c>
      <c r="D314">
        <v>3</v>
      </c>
    </row>
    <row r="315" spans="1:4" x14ac:dyDescent="0.3">
      <c r="A315" s="2">
        <v>45576.388888888891</v>
      </c>
      <c r="B315" s="30">
        <v>45576</v>
      </c>
      <c r="C315" t="s">
        <v>206</v>
      </c>
      <c r="D315">
        <v>3</v>
      </c>
    </row>
    <row r="316" spans="1:4" x14ac:dyDescent="0.3">
      <c r="A316" s="2">
        <v>45576.395833333336</v>
      </c>
      <c r="B316" s="30">
        <v>45576</v>
      </c>
      <c r="C316" t="s">
        <v>206</v>
      </c>
      <c r="D316">
        <v>3</v>
      </c>
    </row>
    <row r="317" spans="1:4" x14ac:dyDescent="0.3">
      <c r="A317" s="2">
        <v>45576.402777777781</v>
      </c>
      <c r="B317" s="30">
        <v>45576</v>
      </c>
      <c r="C317" t="s">
        <v>206</v>
      </c>
      <c r="D317">
        <v>2</v>
      </c>
    </row>
    <row r="318" spans="1:4" x14ac:dyDescent="0.3">
      <c r="A318" s="2">
        <v>45576.409722222219</v>
      </c>
      <c r="B318" s="30">
        <v>45576</v>
      </c>
      <c r="C318" t="s">
        <v>206</v>
      </c>
      <c r="D318">
        <v>3</v>
      </c>
    </row>
    <row r="319" spans="1:4" x14ac:dyDescent="0.3">
      <c r="A319" s="2">
        <v>45576.416666666664</v>
      </c>
      <c r="B319" s="30">
        <v>45576</v>
      </c>
      <c r="C319" t="s">
        <v>207</v>
      </c>
      <c r="D319">
        <v>3</v>
      </c>
    </row>
    <row r="320" spans="1:4" x14ac:dyDescent="0.3">
      <c r="A320" s="2">
        <v>45576.423611111109</v>
      </c>
      <c r="B320" s="30">
        <v>45576</v>
      </c>
      <c r="C320" t="s">
        <v>207</v>
      </c>
      <c r="D320">
        <v>3</v>
      </c>
    </row>
    <row r="321" spans="1:4" x14ac:dyDescent="0.3">
      <c r="A321" s="2">
        <v>45576.430555555555</v>
      </c>
      <c r="B321" s="30">
        <v>45576</v>
      </c>
      <c r="C321" t="s">
        <v>207</v>
      </c>
      <c r="D321">
        <v>4</v>
      </c>
    </row>
    <row r="322" spans="1:4" x14ac:dyDescent="0.3">
      <c r="A322" s="2">
        <v>45576.4375</v>
      </c>
      <c r="B322" s="30">
        <v>45576</v>
      </c>
      <c r="C322" t="s">
        <v>207</v>
      </c>
      <c r="D322">
        <v>4</v>
      </c>
    </row>
    <row r="323" spans="1:4" x14ac:dyDescent="0.3">
      <c r="A323" s="2">
        <v>45576.444444444445</v>
      </c>
      <c r="B323" s="30">
        <v>45576</v>
      </c>
      <c r="C323" t="s">
        <v>207</v>
      </c>
      <c r="D323">
        <v>4</v>
      </c>
    </row>
    <row r="324" spans="1:4" x14ac:dyDescent="0.3">
      <c r="A324" s="2">
        <v>45576.451388888891</v>
      </c>
      <c r="B324" s="30">
        <v>45576</v>
      </c>
      <c r="C324" t="s">
        <v>207</v>
      </c>
      <c r="D324">
        <v>4</v>
      </c>
    </row>
    <row r="325" spans="1:4" x14ac:dyDescent="0.3">
      <c r="A325" s="2">
        <v>45576.458333333336</v>
      </c>
      <c r="B325" s="30">
        <v>45576</v>
      </c>
      <c r="C325" t="s">
        <v>208</v>
      </c>
      <c r="D325">
        <v>4</v>
      </c>
    </row>
    <row r="326" spans="1:4" x14ac:dyDescent="0.3">
      <c r="A326" s="2">
        <v>45576.465277777781</v>
      </c>
      <c r="B326" s="30">
        <v>45576</v>
      </c>
      <c r="C326" t="s">
        <v>208</v>
      </c>
      <c r="D326">
        <v>5</v>
      </c>
    </row>
    <row r="327" spans="1:4" x14ac:dyDescent="0.3">
      <c r="A327" s="2">
        <v>45576.472222222219</v>
      </c>
      <c r="B327" s="30">
        <v>45576</v>
      </c>
      <c r="C327" t="s">
        <v>208</v>
      </c>
      <c r="D327">
        <v>5</v>
      </c>
    </row>
    <row r="328" spans="1:4" x14ac:dyDescent="0.3">
      <c r="A328" s="2">
        <v>45576.479166666664</v>
      </c>
      <c r="B328" s="30">
        <v>45576</v>
      </c>
      <c r="C328" t="s">
        <v>208</v>
      </c>
      <c r="D328">
        <v>5</v>
      </c>
    </row>
    <row r="329" spans="1:4" x14ac:dyDescent="0.3">
      <c r="A329" s="2">
        <v>45576.486111111109</v>
      </c>
      <c r="B329" s="30">
        <v>45576</v>
      </c>
      <c r="C329" t="s">
        <v>208</v>
      </c>
      <c r="D329">
        <v>5</v>
      </c>
    </row>
    <row r="330" spans="1:4" x14ac:dyDescent="0.3">
      <c r="A330" s="2">
        <v>45576.493055555555</v>
      </c>
      <c r="B330" s="30">
        <v>45576</v>
      </c>
      <c r="C330" t="s">
        <v>208</v>
      </c>
      <c r="D330">
        <v>5</v>
      </c>
    </row>
    <row r="331" spans="1:4" x14ac:dyDescent="0.3">
      <c r="A331" s="2">
        <v>45576.5</v>
      </c>
      <c r="B331" s="30">
        <v>45576</v>
      </c>
      <c r="C331" t="s">
        <v>209</v>
      </c>
      <c r="D331">
        <v>5</v>
      </c>
    </row>
    <row r="332" spans="1:4" x14ac:dyDescent="0.3">
      <c r="A332" s="2">
        <v>45576.506944444445</v>
      </c>
      <c r="B332" s="30">
        <v>45576</v>
      </c>
      <c r="C332" t="s">
        <v>209</v>
      </c>
      <c r="D332">
        <v>5</v>
      </c>
    </row>
    <row r="333" spans="1:4" x14ac:dyDescent="0.3">
      <c r="A333" s="2">
        <v>45576.513888888891</v>
      </c>
      <c r="B333" s="30">
        <v>45576</v>
      </c>
      <c r="C333" t="s">
        <v>209</v>
      </c>
      <c r="D333">
        <v>5</v>
      </c>
    </row>
    <row r="334" spans="1:4" x14ac:dyDescent="0.3">
      <c r="A334" s="2">
        <v>45576.520833333336</v>
      </c>
      <c r="B334" s="30">
        <v>45576</v>
      </c>
      <c r="C334" t="s">
        <v>209</v>
      </c>
      <c r="D334">
        <v>5</v>
      </c>
    </row>
    <row r="335" spans="1:4" x14ac:dyDescent="0.3">
      <c r="A335" s="2">
        <v>45576.527777777781</v>
      </c>
      <c r="B335" s="30">
        <v>45576</v>
      </c>
      <c r="C335" t="s">
        <v>209</v>
      </c>
      <c r="D335">
        <v>4</v>
      </c>
    </row>
    <row r="336" spans="1:4" x14ac:dyDescent="0.3">
      <c r="A336" s="2">
        <v>45576.534722222219</v>
      </c>
      <c r="B336" s="30">
        <v>45576</v>
      </c>
      <c r="C336" t="s">
        <v>209</v>
      </c>
      <c r="D336">
        <v>3</v>
      </c>
    </row>
    <row r="337" spans="1:4" x14ac:dyDescent="0.3">
      <c r="A337" s="2">
        <v>45576.541666666664</v>
      </c>
      <c r="B337" s="30">
        <v>45576</v>
      </c>
      <c r="C337" t="s">
        <v>210</v>
      </c>
      <c r="D337">
        <v>3</v>
      </c>
    </row>
    <row r="338" spans="1:4" x14ac:dyDescent="0.3">
      <c r="A338" s="2">
        <v>45576.548611111109</v>
      </c>
      <c r="B338" s="30">
        <v>45576</v>
      </c>
      <c r="C338" t="s">
        <v>210</v>
      </c>
      <c r="D338">
        <v>3</v>
      </c>
    </row>
    <row r="339" spans="1:4" x14ac:dyDescent="0.3">
      <c r="A339" s="2">
        <v>45576.555555555555</v>
      </c>
      <c r="B339" s="30">
        <v>45576</v>
      </c>
      <c r="C339" t="s">
        <v>210</v>
      </c>
      <c r="D339">
        <v>3</v>
      </c>
    </row>
    <row r="340" spans="1:4" x14ac:dyDescent="0.3">
      <c r="A340" s="2">
        <v>45576.5625</v>
      </c>
      <c r="B340" s="30">
        <v>45576</v>
      </c>
      <c r="C340" t="s">
        <v>210</v>
      </c>
      <c r="D340">
        <v>3</v>
      </c>
    </row>
    <row r="341" spans="1:4" x14ac:dyDescent="0.3">
      <c r="A341" s="2">
        <v>45576.569444444445</v>
      </c>
      <c r="B341" s="30">
        <v>45576</v>
      </c>
      <c r="C341" t="s">
        <v>210</v>
      </c>
      <c r="D341">
        <v>3</v>
      </c>
    </row>
    <row r="342" spans="1:4" x14ac:dyDescent="0.3">
      <c r="A342" s="2">
        <v>45576.576388888891</v>
      </c>
      <c r="B342" s="30">
        <v>45576</v>
      </c>
      <c r="C342" t="s">
        <v>210</v>
      </c>
      <c r="D342">
        <v>3</v>
      </c>
    </row>
    <row r="343" spans="1:4" x14ac:dyDescent="0.3">
      <c r="A343" s="2">
        <v>45576.583333333336</v>
      </c>
      <c r="B343" s="30">
        <v>45576</v>
      </c>
      <c r="C343" t="s">
        <v>211</v>
      </c>
      <c r="D343">
        <v>3</v>
      </c>
    </row>
    <row r="344" spans="1:4" x14ac:dyDescent="0.3">
      <c r="A344" s="2">
        <v>45576.590277777781</v>
      </c>
      <c r="B344" s="30">
        <v>45576</v>
      </c>
      <c r="C344" t="s">
        <v>211</v>
      </c>
      <c r="D344">
        <v>3</v>
      </c>
    </row>
    <row r="345" spans="1:4" x14ac:dyDescent="0.3">
      <c r="A345" s="2">
        <v>45576.597222222219</v>
      </c>
      <c r="B345" s="30">
        <v>45576</v>
      </c>
      <c r="C345" t="s">
        <v>211</v>
      </c>
      <c r="D345">
        <v>2</v>
      </c>
    </row>
    <row r="346" spans="1:4" x14ac:dyDescent="0.3">
      <c r="A346" s="2">
        <v>45576.604166666664</v>
      </c>
      <c r="B346" s="30">
        <v>45576</v>
      </c>
      <c r="C346" t="s">
        <v>211</v>
      </c>
      <c r="D346">
        <v>2</v>
      </c>
    </row>
    <row r="347" spans="1:4" x14ac:dyDescent="0.3">
      <c r="A347" s="2">
        <v>45576.611111111109</v>
      </c>
      <c r="B347" s="30">
        <v>45576</v>
      </c>
      <c r="C347" t="s">
        <v>211</v>
      </c>
      <c r="D347">
        <v>2</v>
      </c>
    </row>
    <row r="348" spans="1:4" x14ac:dyDescent="0.3">
      <c r="A348" s="2">
        <v>45576.618055555555</v>
      </c>
      <c r="B348" s="30">
        <v>45576</v>
      </c>
      <c r="C348" t="s">
        <v>211</v>
      </c>
      <c r="D348">
        <v>2</v>
      </c>
    </row>
    <row r="349" spans="1:4" x14ac:dyDescent="0.3">
      <c r="A349" s="2">
        <v>45576.625</v>
      </c>
      <c r="B349" s="30">
        <v>45576</v>
      </c>
      <c r="C349" t="s">
        <v>212</v>
      </c>
      <c r="D349">
        <v>3</v>
      </c>
    </row>
    <row r="350" spans="1:4" x14ac:dyDescent="0.3">
      <c r="A350" s="2">
        <v>45576.631944444445</v>
      </c>
      <c r="B350" s="30">
        <v>45576</v>
      </c>
      <c r="C350" t="s">
        <v>212</v>
      </c>
      <c r="D350">
        <v>3</v>
      </c>
    </row>
    <row r="351" spans="1:4" x14ac:dyDescent="0.3">
      <c r="A351" s="2">
        <v>45576.638888888891</v>
      </c>
      <c r="B351" s="30">
        <v>45576</v>
      </c>
      <c r="C351" t="s">
        <v>212</v>
      </c>
      <c r="D351">
        <v>3</v>
      </c>
    </row>
    <row r="352" spans="1:4" x14ac:dyDescent="0.3">
      <c r="A352" s="2">
        <v>45576.645833333336</v>
      </c>
      <c r="B352" s="30">
        <v>45576</v>
      </c>
      <c r="C352" t="s">
        <v>212</v>
      </c>
      <c r="D352">
        <v>3</v>
      </c>
    </row>
    <row r="353" spans="1:4" x14ac:dyDescent="0.3">
      <c r="A353" s="2">
        <v>45576.652777777781</v>
      </c>
      <c r="B353" s="30">
        <v>45576</v>
      </c>
      <c r="C353" t="s">
        <v>212</v>
      </c>
      <c r="D353">
        <v>3</v>
      </c>
    </row>
    <row r="354" spans="1:4" x14ac:dyDescent="0.3">
      <c r="A354" s="2">
        <v>45576.659722222219</v>
      </c>
      <c r="B354" s="30">
        <v>45576</v>
      </c>
      <c r="C354" t="s">
        <v>212</v>
      </c>
      <c r="D354">
        <v>4</v>
      </c>
    </row>
    <row r="355" spans="1:4" x14ac:dyDescent="0.3">
      <c r="A355" s="2">
        <v>45576.666666666664</v>
      </c>
      <c r="B355" s="30">
        <v>45576</v>
      </c>
      <c r="C355" t="s">
        <v>213</v>
      </c>
      <c r="D355">
        <v>4</v>
      </c>
    </row>
    <row r="356" spans="1:4" x14ac:dyDescent="0.3">
      <c r="A356" s="2">
        <v>45576.673611111109</v>
      </c>
      <c r="B356" s="30">
        <v>45576</v>
      </c>
      <c r="C356" t="s">
        <v>213</v>
      </c>
      <c r="D356">
        <v>4</v>
      </c>
    </row>
    <row r="357" spans="1:4" x14ac:dyDescent="0.3">
      <c r="A357" s="2">
        <v>45576.680555555555</v>
      </c>
      <c r="B357" s="30">
        <v>45576</v>
      </c>
      <c r="C357" t="s">
        <v>213</v>
      </c>
      <c r="D357">
        <v>4</v>
      </c>
    </row>
    <row r="358" spans="1:4" x14ac:dyDescent="0.3">
      <c r="A358" s="2">
        <v>45576.6875</v>
      </c>
      <c r="B358" s="30">
        <v>45576</v>
      </c>
      <c r="C358" t="s">
        <v>213</v>
      </c>
      <c r="D358">
        <v>4</v>
      </c>
    </row>
    <row r="359" spans="1:4" x14ac:dyDescent="0.3">
      <c r="A359" s="2">
        <v>45576.694444444445</v>
      </c>
      <c r="B359" s="30">
        <v>45576</v>
      </c>
      <c r="C359" t="s">
        <v>213</v>
      </c>
      <c r="D359">
        <v>6</v>
      </c>
    </row>
    <row r="360" spans="1:4" x14ac:dyDescent="0.3">
      <c r="A360" s="2">
        <v>45576.701388888891</v>
      </c>
      <c r="B360" s="30">
        <v>45576</v>
      </c>
      <c r="C360" t="s">
        <v>213</v>
      </c>
      <c r="D360">
        <v>6</v>
      </c>
    </row>
    <row r="361" spans="1:4" x14ac:dyDescent="0.3">
      <c r="A361" s="2">
        <v>45576.708333333336</v>
      </c>
      <c r="B361" s="30">
        <v>45576</v>
      </c>
      <c r="C361" t="s">
        <v>174</v>
      </c>
      <c r="D361">
        <v>5</v>
      </c>
    </row>
    <row r="362" spans="1:4" x14ac:dyDescent="0.3">
      <c r="A362" s="2">
        <v>45576.715277777781</v>
      </c>
      <c r="B362" s="30">
        <v>45576</v>
      </c>
      <c r="C362" t="s">
        <v>174</v>
      </c>
      <c r="D362">
        <v>5</v>
      </c>
    </row>
    <row r="363" spans="1:4" x14ac:dyDescent="0.3">
      <c r="A363" s="2">
        <v>45576.722222222219</v>
      </c>
      <c r="B363" s="30">
        <v>45576</v>
      </c>
      <c r="C363" t="s">
        <v>174</v>
      </c>
      <c r="D363">
        <v>5</v>
      </c>
    </row>
    <row r="364" spans="1:4" x14ac:dyDescent="0.3">
      <c r="A364" s="2">
        <v>45576.729166666664</v>
      </c>
      <c r="B364" s="30">
        <v>45576</v>
      </c>
      <c r="C364" t="s">
        <v>174</v>
      </c>
      <c r="D364">
        <v>4</v>
      </c>
    </row>
    <row r="365" spans="1:4" x14ac:dyDescent="0.3">
      <c r="A365" s="2">
        <v>45576.736111111109</v>
      </c>
      <c r="B365" s="30">
        <v>45576</v>
      </c>
      <c r="C365" t="s">
        <v>174</v>
      </c>
      <c r="D365">
        <v>4</v>
      </c>
    </row>
    <row r="366" spans="1:4" x14ac:dyDescent="0.3">
      <c r="A366" s="2">
        <v>45576.743055555555</v>
      </c>
      <c r="B366" s="30">
        <v>45576</v>
      </c>
      <c r="C366" t="s">
        <v>174</v>
      </c>
      <c r="D366">
        <v>4</v>
      </c>
    </row>
    <row r="367" spans="1:4" x14ac:dyDescent="0.3">
      <c r="A367" s="2">
        <v>45576.75</v>
      </c>
      <c r="B367" s="30">
        <v>45576</v>
      </c>
      <c r="C367" t="s">
        <v>175</v>
      </c>
      <c r="D367">
        <v>3</v>
      </c>
    </row>
    <row r="368" spans="1:4" x14ac:dyDescent="0.3">
      <c r="A368" s="2">
        <v>45576.756944444445</v>
      </c>
      <c r="B368" s="30">
        <v>45576</v>
      </c>
      <c r="C368" t="s">
        <v>175</v>
      </c>
      <c r="D368">
        <v>3</v>
      </c>
    </row>
    <row r="369" spans="1:4" x14ac:dyDescent="0.3">
      <c r="A369" s="2">
        <v>45576.763888888891</v>
      </c>
      <c r="B369" s="30">
        <v>45576</v>
      </c>
      <c r="C369" t="s">
        <v>175</v>
      </c>
      <c r="D369">
        <v>3</v>
      </c>
    </row>
    <row r="370" spans="1:4" x14ac:dyDescent="0.3">
      <c r="A370" s="2">
        <v>45576.770833333336</v>
      </c>
      <c r="B370" s="30">
        <v>45576</v>
      </c>
      <c r="C370" t="s">
        <v>175</v>
      </c>
      <c r="D370">
        <v>2</v>
      </c>
    </row>
    <row r="371" spans="1:4" x14ac:dyDescent="0.3">
      <c r="A371" s="2">
        <v>45576.777777777781</v>
      </c>
      <c r="B371" s="30">
        <v>45576</v>
      </c>
      <c r="C371" t="s">
        <v>175</v>
      </c>
      <c r="D371">
        <v>2</v>
      </c>
    </row>
    <row r="372" spans="1:4" x14ac:dyDescent="0.3">
      <c r="A372" s="2">
        <v>45576.784722222219</v>
      </c>
      <c r="B372" s="30">
        <v>45576</v>
      </c>
      <c r="C372" t="s">
        <v>175</v>
      </c>
      <c r="D372">
        <v>1</v>
      </c>
    </row>
    <row r="373" spans="1:4" x14ac:dyDescent="0.3">
      <c r="A373" s="2">
        <v>45576.791666666664</v>
      </c>
      <c r="B373" s="30">
        <v>45576</v>
      </c>
      <c r="C373" t="s">
        <v>192</v>
      </c>
      <c r="D373">
        <v>1</v>
      </c>
    </row>
    <row r="374" spans="1:4" x14ac:dyDescent="0.3">
      <c r="A374" s="2">
        <v>45576.798611111109</v>
      </c>
      <c r="B374" s="30">
        <v>45576</v>
      </c>
      <c r="C374" t="s">
        <v>192</v>
      </c>
      <c r="D374">
        <v>1</v>
      </c>
    </row>
    <row r="375" spans="1:4" x14ac:dyDescent="0.3">
      <c r="A375" s="2">
        <v>45576.805555555555</v>
      </c>
      <c r="B375" s="30">
        <v>45576</v>
      </c>
      <c r="C375" t="s">
        <v>192</v>
      </c>
      <c r="D375">
        <v>0</v>
      </c>
    </row>
    <row r="376" spans="1:4" x14ac:dyDescent="0.3">
      <c r="A376" s="2">
        <v>45576.8125</v>
      </c>
      <c r="B376" s="30">
        <v>45576</v>
      </c>
      <c r="C376" t="s">
        <v>192</v>
      </c>
      <c r="D376">
        <v>0</v>
      </c>
    </row>
    <row r="377" spans="1:4" x14ac:dyDescent="0.3">
      <c r="A377" s="2">
        <v>45576.819444444445</v>
      </c>
      <c r="B377" s="30">
        <v>45576</v>
      </c>
      <c r="C377" t="s">
        <v>192</v>
      </c>
      <c r="D377">
        <v>0</v>
      </c>
    </row>
    <row r="378" spans="1:4" x14ac:dyDescent="0.3">
      <c r="A378" s="2">
        <v>45576.826388888891</v>
      </c>
      <c r="B378" s="30">
        <v>45576</v>
      </c>
      <c r="C378" t="s">
        <v>192</v>
      </c>
      <c r="D378">
        <v>0</v>
      </c>
    </row>
    <row r="379" spans="1:4" x14ac:dyDescent="0.3">
      <c r="A379" s="2">
        <v>45576.833333333336</v>
      </c>
      <c r="B379" s="30">
        <v>45576</v>
      </c>
      <c r="C379" t="s">
        <v>193</v>
      </c>
      <c r="D379">
        <v>0</v>
      </c>
    </row>
    <row r="380" spans="1:4" x14ac:dyDescent="0.3">
      <c r="A380" s="2">
        <v>45576.840277777781</v>
      </c>
      <c r="B380" s="30">
        <v>45576</v>
      </c>
      <c r="C380" t="s">
        <v>193</v>
      </c>
      <c r="D380">
        <v>0</v>
      </c>
    </row>
    <row r="381" spans="1:4" x14ac:dyDescent="0.3">
      <c r="A381" s="2">
        <v>45576.847222222219</v>
      </c>
      <c r="B381" s="30">
        <v>45576</v>
      </c>
      <c r="C381" t="s">
        <v>193</v>
      </c>
      <c r="D381">
        <v>0</v>
      </c>
    </row>
    <row r="382" spans="1:4" x14ac:dyDescent="0.3">
      <c r="A382" s="2">
        <v>45576.854166666664</v>
      </c>
      <c r="B382" s="30">
        <v>45576</v>
      </c>
      <c r="C382" t="s">
        <v>193</v>
      </c>
      <c r="D382">
        <v>0</v>
      </c>
    </row>
    <row r="383" spans="1:4" x14ac:dyDescent="0.3">
      <c r="A383" s="2">
        <v>45576.861111111109</v>
      </c>
      <c r="B383" s="30">
        <v>45576</v>
      </c>
      <c r="C383" t="s">
        <v>193</v>
      </c>
      <c r="D383">
        <v>0</v>
      </c>
    </row>
    <row r="384" spans="1:4" x14ac:dyDescent="0.3">
      <c r="A384" s="2">
        <v>45576.868055555555</v>
      </c>
      <c r="B384" s="30">
        <v>45576</v>
      </c>
      <c r="C384" t="s">
        <v>193</v>
      </c>
      <c r="D384">
        <v>0</v>
      </c>
    </row>
    <row r="385" spans="1:4" x14ac:dyDescent="0.3">
      <c r="A385" s="2">
        <v>45576.875</v>
      </c>
      <c r="B385" s="30">
        <v>45576</v>
      </c>
      <c r="C385" t="s">
        <v>194</v>
      </c>
      <c r="D385">
        <v>0</v>
      </c>
    </row>
    <row r="386" spans="1:4" x14ac:dyDescent="0.3">
      <c r="A386" s="2">
        <v>45576.881944444445</v>
      </c>
      <c r="B386" s="30">
        <v>45576</v>
      </c>
      <c r="C386" t="s">
        <v>194</v>
      </c>
      <c r="D386">
        <v>0</v>
      </c>
    </row>
    <row r="387" spans="1:4" x14ac:dyDescent="0.3">
      <c r="A387" s="2">
        <v>45576.888888888891</v>
      </c>
      <c r="B387" s="30">
        <v>45576</v>
      </c>
      <c r="C387" t="s">
        <v>194</v>
      </c>
      <c r="D387">
        <v>0</v>
      </c>
    </row>
    <row r="388" spans="1:4" x14ac:dyDescent="0.3">
      <c r="A388" s="2">
        <v>45576.895833333336</v>
      </c>
      <c r="B388" s="30">
        <v>45576</v>
      </c>
      <c r="C388" t="s">
        <v>194</v>
      </c>
      <c r="D388">
        <v>0</v>
      </c>
    </row>
    <row r="389" spans="1:4" x14ac:dyDescent="0.3">
      <c r="A389" s="2">
        <v>45576.902777777781</v>
      </c>
      <c r="B389" s="30">
        <v>45576</v>
      </c>
      <c r="C389" t="s">
        <v>194</v>
      </c>
      <c r="D389">
        <v>0</v>
      </c>
    </row>
    <row r="390" spans="1:4" x14ac:dyDescent="0.3">
      <c r="A390" s="2">
        <v>45576.909722222219</v>
      </c>
      <c r="B390" s="30">
        <v>45576</v>
      </c>
      <c r="C390" t="s">
        <v>194</v>
      </c>
      <c r="D390">
        <v>0</v>
      </c>
    </row>
    <row r="391" spans="1:4" x14ac:dyDescent="0.3">
      <c r="A391" s="2">
        <v>45576.916678240741</v>
      </c>
      <c r="B391" s="30">
        <v>45576</v>
      </c>
      <c r="C391" t="s">
        <v>195</v>
      </c>
      <c r="D391">
        <v>0</v>
      </c>
    </row>
    <row r="392" spans="1:4" x14ac:dyDescent="0.3">
      <c r="A392" s="2">
        <v>45576.923622685186</v>
      </c>
      <c r="B392" s="30">
        <v>45576</v>
      </c>
      <c r="C392" t="s">
        <v>195</v>
      </c>
      <c r="D392">
        <v>0</v>
      </c>
    </row>
    <row r="393" spans="1:4" x14ac:dyDescent="0.3">
      <c r="A393" s="2">
        <v>45576.930567129632</v>
      </c>
      <c r="B393" s="30">
        <v>45576</v>
      </c>
      <c r="C393" t="s">
        <v>195</v>
      </c>
      <c r="D393">
        <v>0</v>
      </c>
    </row>
    <row r="394" spans="1:4" x14ac:dyDescent="0.3">
      <c r="A394" s="2">
        <v>45576.944456018522</v>
      </c>
      <c r="B394" s="30">
        <v>45576</v>
      </c>
      <c r="C394" t="s">
        <v>195</v>
      </c>
      <c r="D394">
        <v>0</v>
      </c>
    </row>
    <row r="395" spans="1:4" x14ac:dyDescent="0.3">
      <c r="A395" s="2">
        <v>45577</v>
      </c>
      <c r="B395" s="30">
        <v>45577</v>
      </c>
      <c r="C395" t="s">
        <v>197</v>
      </c>
      <c r="D395">
        <v>0</v>
      </c>
    </row>
    <row r="396" spans="1:4" x14ac:dyDescent="0.3">
      <c r="A396" s="2">
        <v>45577.006944444445</v>
      </c>
      <c r="B396" s="30">
        <v>45577</v>
      </c>
      <c r="C396" t="s">
        <v>197</v>
      </c>
      <c r="D396">
        <v>0</v>
      </c>
    </row>
    <row r="397" spans="1:4" x14ac:dyDescent="0.3">
      <c r="A397" s="2">
        <v>45577.013888888891</v>
      </c>
      <c r="B397" s="30">
        <v>45577</v>
      </c>
      <c r="C397" t="s">
        <v>197</v>
      </c>
      <c r="D397">
        <v>0</v>
      </c>
    </row>
    <row r="398" spans="1:4" x14ac:dyDescent="0.3">
      <c r="A398" s="2">
        <v>45577.020833333336</v>
      </c>
      <c r="B398" s="30">
        <v>45577</v>
      </c>
      <c r="C398" t="s">
        <v>197</v>
      </c>
      <c r="D398">
        <v>0</v>
      </c>
    </row>
    <row r="399" spans="1:4" x14ac:dyDescent="0.3">
      <c r="A399" s="2">
        <v>45577.027777777781</v>
      </c>
      <c r="B399" s="30">
        <v>45577</v>
      </c>
      <c r="C399" t="s">
        <v>197</v>
      </c>
      <c r="D399">
        <v>0</v>
      </c>
    </row>
    <row r="400" spans="1:4" x14ac:dyDescent="0.3">
      <c r="A400" s="2">
        <v>45577.034722222219</v>
      </c>
      <c r="B400" s="30">
        <v>45577</v>
      </c>
      <c r="C400" t="s">
        <v>197</v>
      </c>
      <c r="D400">
        <v>0</v>
      </c>
    </row>
    <row r="401" spans="1:4" x14ac:dyDescent="0.3">
      <c r="A401" s="2">
        <v>45577.041666666664</v>
      </c>
      <c r="B401" s="30">
        <v>45577</v>
      </c>
      <c r="C401" t="s">
        <v>198</v>
      </c>
      <c r="D401">
        <v>0</v>
      </c>
    </row>
    <row r="402" spans="1:4" x14ac:dyDescent="0.3">
      <c r="A402" s="2">
        <v>45577.048611111109</v>
      </c>
      <c r="B402" s="30">
        <v>45577</v>
      </c>
      <c r="C402" t="s">
        <v>198</v>
      </c>
      <c r="D402">
        <v>0</v>
      </c>
    </row>
    <row r="403" spans="1:4" x14ac:dyDescent="0.3">
      <c r="A403" s="2">
        <v>45577.055555555555</v>
      </c>
      <c r="B403" s="30">
        <v>45577</v>
      </c>
      <c r="C403" t="s">
        <v>198</v>
      </c>
      <c r="D403">
        <v>0</v>
      </c>
    </row>
    <row r="404" spans="1:4" x14ac:dyDescent="0.3">
      <c r="A404" s="2">
        <v>45577.0625</v>
      </c>
      <c r="B404" s="30">
        <v>45577</v>
      </c>
      <c r="C404" t="s">
        <v>198</v>
      </c>
      <c r="D404">
        <v>0</v>
      </c>
    </row>
    <row r="405" spans="1:4" x14ac:dyDescent="0.3">
      <c r="A405" s="2">
        <v>45577.069444444445</v>
      </c>
      <c r="B405" s="30">
        <v>45577</v>
      </c>
      <c r="C405" t="s">
        <v>198</v>
      </c>
      <c r="D405">
        <v>0</v>
      </c>
    </row>
    <row r="406" spans="1:4" x14ac:dyDescent="0.3">
      <c r="A406" s="2">
        <v>45577.076388888891</v>
      </c>
      <c r="B406" s="30">
        <v>45577</v>
      </c>
      <c r="C406" t="s">
        <v>198</v>
      </c>
      <c r="D406">
        <v>0</v>
      </c>
    </row>
    <row r="407" spans="1:4" x14ac:dyDescent="0.3">
      <c r="A407" s="2">
        <v>45577.083333333336</v>
      </c>
      <c r="B407" s="30">
        <v>45577</v>
      </c>
      <c r="C407" t="s">
        <v>199</v>
      </c>
      <c r="D407">
        <v>0</v>
      </c>
    </row>
    <row r="408" spans="1:4" x14ac:dyDescent="0.3">
      <c r="A408" s="2">
        <v>45577.090277777781</v>
      </c>
      <c r="B408" s="30">
        <v>45577</v>
      </c>
      <c r="C408" t="s">
        <v>199</v>
      </c>
      <c r="D408">
        <v>0</v>
      </c>
    </row>
    <row r="409" spans="1:4" x14ac:dyDescent="0.3">
      <c r="A409" s="2">
        <v>45577.097222222219</v>
      </c>
      <c r="B409" s="30">
        <v>45577</v>
      </c>
      <c r="C409" t="s">
        <v>199</v>
      </c>
      <c r="D409">
        <v>0</v>
      </c>
    </row>
    <row r="410" spans="1:4" x14ac:dyDescent="0.3">
      <c r="A410" s="2">
        <v>45577.104166666664</v>
      </c>
      <c r="B410" s="30">
        <v>45577</v>
      </c>
      <c r="C410" t="s">
        <v>199</v>
      </c>
      <c r="D410">
        <v>0</v>
      </c>
    </row>
    <row r="411" spans="1:4" x14ac:dyDescent="0.3">
      <c r="A411" s="2">
        <v>45577.111111111109</v>
      </c>
      <c r="B411" s="30">
        <v>45577</v>
      </c>
      <c r="C411" t="s">
        <v>199</v>
      </c>
      <c r="D411">
        <v>0</v>
      </c>
    </row>
    <row r="412" spans="1:4" x14ac:dyDescent="0.3">
      <c r="A412" s="2">
        <v>45577.118055555555</v>
      </c>
      <c r="B412" s="30">
        <v>45577</v>
      </c>
      <c r="C412" t="s">
        <v>199</v>
      </c>
      <c r="D412">
        <v>0</v>
      </c>
    </row>
    <row r="413" spans="1:4" x14ac:dyDescent="0.3">
      <c r="A413" s="2">
        <v>45577.125</v>
      </c>
      <c r="B413" s="30">
        <v>45577</v>
      </c>
      <c r="C413" t="s">
        <v>200</v>
      </c>
      <c r="D413">
        <v>0</v>
      </c>
    </row>
    <row r="414" spans="1:4" x14ac:dyDescent="0.3">
      <c r="A414" s="2">
        <v>45577.131944444445</v>
      </c>
      <c r="B414" s="30">
        <v>45577</v>
      </c>
      <c r="C414" t="s">
        <v>200</v>
      </c>
      <c r="D414">
        <v>0</v>
      </c>
    </row>
    <row r="415" spans="1:4" x14ac:dyDescent="0.3">
      <c r="A415" s="2">
        <v>45577.138888888891</v>
      </c>
      <c r="B415" s="30">
        <v>45577</v>
      </c>
      <c r="C415" t="s">
        <v>200</v>
      </c>
      <c r="D415">
        <v>0</v>
      </c>
    </row>
    <row r="416" spans="1:4" x14ac:dyDescent="0.3">
      <c r="A416" s="2">
        <v>45577.145833333336</v>
      </c>
      <c r="B416" s="30">
        <v>45577</v>
      </c>
      <c r="C416" t="s">
        <v>200</v>
      </c>
      <c r="D416">
        <v>0</v>
      </c>
    </row>
    <row r="417" spans="1:4" x14ac:dyDescent="0.3">
      <c r="A417" s="2">
        <v>45577.152777777781</v>
      </c>
      <c r="B417" s="30">
        <v>45577</v>
      </c>
      <c r="C417" t="s">
        <v>200</v>
      </c>
      <c r="D417">
        <v>0</v>
      </c>
    </row>
    <row r="418" spans="1:4" x14ac:dyDescent="0.3">
      <c r="A418" s="2">
        <v>45577.159722222219</v>
      </c>
      <c r="B418" s="30">
        <v>45577</v>
      </c>
      <c r="C418" t="s">
        <v>200</v>
      </c>
      <c r="D418">
        <v>0</v>
      </c>
    </row>
    <row r="419" spans="1:4" x14ac:dyDescent="0.3">
      <c r="A419" s="2">
        <v>45577.166666666664</v>
      </c>
      <c r="B419" s="30">
        <v>45577</v>
      </c>
      <c r="C419" t="s">
        <v>201</v>
      </c>
      <c r="D419">
        <v>0</v>
      </c>
    </row>
    <row r="420" spans="1:4" x14ac:dyDescent="0.3">
      <c r="A420" s="2">
        <v>45577.173611111109</v>
      </c>
      <c r="B420" s="30">
        <v>45577</v>
      </c>
      <c r="C420" t="s">
        <v>201</v>
      </c>
      <c r="D420">
        <v>0</v>
      </c>
    </row>
    <row r="421" spans="1:4" x14ac:dyDescent="0.3">
      <c r="A421" s="2">
        <v>45577.180555555555</v>
      </c>
      <c r="B421" s="30">
        <v>45577</v>
      </c>
      <c r="C421" t="s">
        <v>201</v>
      </c>
      <c r="D421">
        <v>0</v>
      </c>
    </row>
    <row r="422" spans="1:4" x14ac:dyDescent="0.3">
      <c r="A422" s="2">
        <v>45577.1875</v>
      </c>
      <c r="B422" s="30">
        <v>45577</v>
      </c>
      <c r="C422" t="s">
        <v>201</v>
      </c>
      <c r="D422">
        <v>0</v>
      </c>
    </row>
    <row r="423" spans="1:4" x14ac:dyDescent="0.3">
      <c r="A423" s="2">
        <v>45577.194444444445</v>
      </c>
      <c r="B423" s="30">
        <v>45577</v>
      </c>
      <c r="C423" t="s">
        <v>201</v>
      </c>
      <c r="D423">
        <v>0</v>
      </c>
    </row>
    <row r="424" spans="1:4" x14ac:dyDescent="0.3">
      <c r="A424" s="2">
        <v>45577.201388888891</v>
      </c>
      <c r="B424" s="30">
        <v>45577</v>
      </c>
      <c r="C424" t="s">
        <v>201</v>
      </c>
      <c r="D424">
        <v>0</v>
      </c>
    </row>
    <row r="425" spans="1:4" x14ac:dyDescent="0.3">
      <c r="A425" s="2">
        <v>45577.208333333336</v>
      </c>
      <c r="B425" s="30">
        <v>45577</v>
      </c>
      <c r="C425" t="s">
        <v>202</v>
      </c>
      <c r="D425">
        <v>0</v>
      </c>
    </row>
    <row r="426" spans="1:4" x14ac:dyDescent="0.3">
      <c r="A426" s="2">
        <v>45577.215277777781</v>
      </c>
      <c r="B426" s="30">
        <v>45577</v>
      </c>
      <c r="C426" t="s">
        <v>202</v>
      </c>
      <c r="D426">
        <v>0</v>
      </c>
    </row>
    <row r="427" spans="1:4" x14ac:dyDescent="0.3">
      <c r="A427" s="2">
        <v>45577.222222222219</v>
      </c>
      <c r="B427" s="30">
        <v>45577</v>
      </c>
      <c r="C427" t="s">
        <v>202</v>
      </c>
      <c r="D427">
        <v>0</v>
      </c>
    </row>
    <row r="428" spans="1:4" x14ac:dyDescent="0.3">
      <c r="A428" s="2">
        <v>45577.229166666664</v>
      </c>
      <c r="B428" s="30">
        <v>45577</v>
      </c>
      <c r="C428" t="s">
        <v>202</v>
      </c>
      <c r="D428">
        <v>0</v>
      </c>
    </row>
    <row r="429" spans="1:4" x14ac:dyDescent="0.3">
      <c r="A429" s="2">
        <v>45577.236111111109</v>
      </c>
      <c r="B429" s="30">
        <v>45577</v>
      </c>
      <c r="C429" t="s">
        <v>202</v>
      </c>
      <c r="D429">
        <v>0</v>
      </c>
    </row>
    <row r="430" spans="1:4" x14ac:dyDescent="0.3">
      <c r="A430" s="2">
        <v>45577.243055555555</v>
      </c>
      <c r="B430" s="30">
        <v>45577</v>
      </c>
      <c r="C430" t="s">
        <v>202</v>
      </c>
      <c r="D430">
        <v>0</v>
      </c>
    </row>
    <row r="431" spans="1:4" x14ac:dyDescent="0.3">
      <c r="A431" s="2">
        <v>45577.25</v>
      </c>
      <c r="B431" s="30">
        <v>45577</v>
      </c>
      <c r="C431" t="s">
        <v>203</v>
      </c>
      <c r="D431">
        <v>0</v>
      </c>
    </row>
    <row r="432" spans="1:4" x14ac:dyDescent="0.3">
      <c r="A432" s="2">
        <v>45577.256944444445</v>
      </c>
      <c r="B432" s="30">
        <v>45577</v>
      </c>
      <c r="C432" t="s">
        <v>203</v>
      </c>
      <c r="D432">
        <v>0</v>
      </c>
    </row>
    <row r="433" spans="1:4" x14ac:dyDescent="0.3">
      <c r="A433" s="2">
        <v>45577.263888888891</v>
      </c>
      <c r="B433" s="30">
        <v>45577</v>
      </c>
      <c r="C433" t="s">
        <v>203</v>
      </c>
      <c r="D433">
        <v>0</v>
      </c>
    </row>
    <row r="434" spans="1:4" x14ac:dyDescent="0.3">
      <c r="A434" s="2">
        <v>45577.270833333336</v>
      </c>
      <c r="B434" s="30">
        <v>45577</v>
      </c>
      <c r="C434" t="s">
        <v>203</v>
      </c>
      <c r="D434">
        <v>0</v>
      </c>
    </row>
    <row r="435" spans="1:4" x14ac:dyDescent="0.3">
      <c r="A435" s="2">
        <v>45577.277777777781</v>
      </c>
      <c r="B435" s="30">
        <v>45577</v>
      </c>
      <c r="C435" t="s">
        <v>203</v>
      </c>
      <c r="D435">
        <v>0</v>
      </c>
    </row>
    <row r="436" spans="1:4" x14ac:dyDescent="0.3">
      <c r="A436" s="2">
        <v>45577.284722222219</v>
      </c>
      <c r="B436" s="30">
        <v>45577</v>
      </c>
      <c r="C436" t="s">
        <v>203</v>
      </c>
      <c r="D436">
        <v>0</v>
      </c>
    </row>
    <row r="437" spans="1:4" x14ac:dyDescent="0.3">
      <c r="A437" s="2">
        <v>45577.291666666664</v>
      </c>
      <c r="B437" s="30">
        <v>45577</v>
      </c>
      <c r="C437" t="s">
        <v>204</v>
      </c>
      <c r="D437">
        <v>0</v>
      </c>
    </row>
    <row r="438" spans="1:4" x14ac:dyDescent="0.3">
      <c r="A438" s="2">
        <v>45577.298611111109</v>
      </c>
      <c r="B438" s="30">
        <v>45577</v>
      </c>
      <c r="C438" t="s">
        <v>204</v>
      </c>
      <c r="D438">
        <v>0</v>
      </c>
    </row>
    <row r="439" spans="1:4" x14ac:dyDescent="0.3">
      <c r="A439" s="2">
        <v>45577.305555555555</v>
      </c>
      <c r="B439" s="30">
        <v>45577</v>
      </c>
      <c r="C439" t="s">
        <v>204</v>
      </c>
      <c r="D439">
        <v>0</v>
      </c>
    </row>
    <row r="440" spans="1:4" x14ac:dyDescent="0.3">
      <c r="A440" s="2">
        <v>45577.3125</v>
      </c>
      <c r="B440" s="30">
        <v>45577</v>
      </c>
      <c r="C440" t="s">
        <v>204</v>
      </c>
      <c r="D440">
        <v>1</v>
      </c>
    </row>
    <row r="441" spans="1:4" x14ac:dyDescent="0.3">
      <c r="A441" s="2">
        <v>45577.319444444445</v>
      </c>
      <c r="B441" s="30">
        <v>45577</v>
      </c>
      <c r="C441" t="s">
        <v>204</v>
      </c>
      <c r="D441">
        <v>1</v>
      </c>
    </row>
    <row r="442" spans="1:4" x14ac:dyDescent="0.3">
      <c r="A442" s="2">
        <v>45577.326388888891</v>
      </c>
      <c r="B442" s="30">
        <v>45577</v>
      </c>
      <c r="C442" t="s">
        <v>204</v>
      </c>
      <c r="D442">
        <v>1</v>
      </c>
    </row>
    <row r="443" spans="1:4" x14ac:dyDescent="0.3">
      <c r="A443" s="2">
        <v>45577.333333333336</v>
      </c>
      <c r="B443" s="30">
        <v>45577</v>
      </c>
      <c r="C443" t="s">
        <v>205</v>
      </c>
      <c r="D443">
        <v>1</v>
      </c>
    </row>
    <row r="444" spans="1:4" x14ac:dyDescent="0.3">
      <c r="A444" s="2">
        <v>45577.340277777781</v>
      </c>
      <c r="B444" s="30">
        <v>45577</v>
      </c>
      <c r="C444" t="s">
        <v>205</v>
      </c>
      <c r="D444">
        <v>1</v>
      </c>
    </row>
    <row r="445" spans="1:4" x14ac:dyDescent="0.3">
      <c r="A445" s="2">
        <v>45577.347222222219</v>
      </c>
      <c r="B445" s="30">
        <v>45577</v>
      </c>
      <c r="C445" t="s">
        <v>205</v>
      </c>
      <c r="D445">
        <v>1</v>
      </c>
    </row>
    <row r="446" spans="1:4" x14ac:dyDescent="0.3">
      <c r="A446" s="2">
        <v>45577.354166666664</v>
      </c>
      <c r="B446" s="30">
        <v>45577</v>
      </c>
      <c r="C446" t="s">
        <v>205</v>
      </c>
      <c r="D446">
        <v>2</v>
      </c>
    </row>
    <row r="447" spans="1:4" x14ac:dyDescent="0.3">
      <c r="A447" s="2">
        <v>45577.361111111109</v>
      </c>
      <c r="B447" s="30">
        <v>45577</v>
      </c>
      <c r="C447" t="s">
        <v>205</v>
      </c>
      <c r="D447">
        <v>2</v>
      </c>
    </row>
    <row r="448" spans="1:4" x14ac:dyDescent="0.3">
      <c r="A448" s="2">
        <v>45577.368055555555</v>
      </c>
      <c r="B448" s="30">
        <v>45577</v>
      </c>
      <c r="C448" t="s">
        <v>205</v>
      </c>
      <c r="D448">
        <v>2</v>
      </c>
    </row>
    <row r="449" spans="1:4" x14ac:dyDescent="0.3">
      <c r="A449" s="2">
        <v>45577.375</v>
      </c>
      <c r="B449" s="30">
        <v>45577</v>
      </c>
      <c r="C449" t="s">
        <v>206</v>
      </c>
      <c r="D449">
        <v>3</v>
      </c>
    </row>
    <row r="450" spans="1:4" x14ac:dyDescent="0.3">
      <c r="A450" s="2">
        <v>45577.381944444445</v>
      </c>
      <c r="B450" s="30">
        <v>45577</v>
      </c>
      <c r="C450" t="s">
        <v>206</v>
      </c>
      <c r="D450">
        <v>3</v>
      </c>
    </row>
    <row r="451" spans="1:4" x14ac:dyDescent="0.3">
      <c r="A451" s="2">
        <v>45577.388888888891</v>
      </c>
      <c r="B451" s="30">
        <v>45577</v>
      </c>
      <c r="C451" t="s">
        <v>206</v>
      </c>
      <c r="D451">
        <v>3</v>
      </c>
    </row>
    <row r="452" spans="1:4" x14ac:dyDescent="0.3">
      <c r="A452" s="2">
        <v>45577.395833333336</v>
      </c>
      <c r="B452" s="30">
        <v>45577</v>
      </c>
      <c r="C452" t="s">
        <v>206</v>
      </c>
      <c r="D452">
        <v>3</v>
      </c>
    </row>
    <row r="453" spans="1:4" x14ac:dyDescent="0.3">
      <c r="A453" s="2">
        <v>45577.402777777781</v>
      </c>
      <c r="B453" s="30">
        <v>45577</v>
      </c>
      <c r="C453" t="s">
        <v>206</v>
      </c>
      <c r="D453">
        <v>2</v>
      </c>
    </row>
    <row r="454" spans="1:4" x14ac:dyDescent="0.3">
      <c r="A454" s="2">
        <v>45577.409722222219</v>
      </c>
      <c r="B454" s="30">
        <v>45577</v>
      </c>
      <c r="C454" t="s">
        <v>206</v>
      </c>
      <c r="D454">
        <v>3</v>
      </c>
    </row>
    <row r="455" spans="1:4" x14ac:dyDescent="0.3">
      <c r="A455" s="2">
        <v>45577.416666666664</v>
      </c>
      <c r="B455" s="30">
        <v>45577</v>
      </c>
      <c r="C455" t="s">
        <v>207</v>
      </c>
      <c r="D455">
        <v>3</v>
      </c>
    </row>
    <row r="456" spans="1:4" x14ac:dyDescent="0.3">
      <c r="A456" s="2">
        <v>45577.423611111109</v>
      </c>
      <c r="B456" s="30">
        <v>45577</v>
      </c>
      <c r="C456" t="s">
        <v>207</v>
      </c>
      <c r="D456">
        <v>3</v>
      </c>
    </row>
    <row r="457" spans="1:4" x14ac:dyDescent="0.3">
      <c r="A457" s="2">
        <v>45577.430555555555</v>
      </c>
      <c r="B457" s="30">
        <v>45577</v>
      </c>
      <c r="C457" t="s">
        <v>207</v>
      </c>
      <c r="D457">
        <v>4</v>
      </c>
    </row>
    <row r="458" spans="1:4" x14ac:dyDescent="0.3">
      <c r="A458" s="2">
        <v>45577.4375</v>
      </c>
      <c r="B458" s="30">
        <v>45577</v>
      </c>
      <c r="C458" t="s">
        <v>207</v>
      </c>
      <c r="D458">
        <v>4</v>
      </c>
    </row>
    <row r="459" spans="1:4" x14ac:dyDescent="0.3">
      <c r="A459" s="2">
        <v>45577.444444444445</v>
      </c>
      <c r="B459" s="30">
        <v>45577</v>
      </c>
      <c r="C459" t="s">
        <v>207</v>
      </c>
      <c r="D459">
        <v>4</v>
      </c>
    </row>
    <row r="460" spans="1:4" x14ac:dyDescent="0.3">
      <c r="A460" s="2">
        <v>45577.451388888891</v>
      </c>
      <c r="B460" s="30">
        <v>45577</v>
      </c>
      <c r="C460" t="s">
        <v>207</v>
      </c>
      <c r="D460">
        <v>4</v>
      </c>
    </row>
    <row r="461" spans="1:4" x14ac:dyDescent="0.3">
      <c r="A461" s="2">
        <v>45577.458333333336</v>
      </c>
      <c r="B461" s="30">
        <v>45577</v>
      </c>
      <c r="C461" t="s">
        <v>208</v>
      </c>
      <c r="D461">
        <v>4</v>
      </c>
    </row>
    <row r="462" spans="1:4" x14ac:dyDescent="0.3">
      <c r="A462" s="2">
        <v>45577.465277777781</v>
      </c>
      <c r="B462" s="30">
        <v>45577</v>
      </c>
      <c r="C462" t="s">
        <v>208</v>
      </c>
      <c r="D462">
        <v>5</v>
      </c>
    </row>
    <row r="463" spans="1:4" x14ac:dyDescent="0.3">
      <c r="A463" s="2">
        <v>45577.472222222219</v>
      </c>
      <c r="B463" s="30">
        <v>45577</v>
      </c>
      <c r="C463" t="s">
        <v>208</v>
      </c>
      <c r="D463">
        <v>5</v>
      </c>
    </row>
    <row r="464" spans="1:4" x14ac:dyDescent="0.3">
      <c r="A464" s="2">
        <v>45577.479166666664</v>
      </c>
      <c r="B464" s="30">
        <v>45577</v>
      </c>
      <c r="C464" t="s">
        <v>208</v>
      </c>
      <c r="D464">
        <v>5</v>
      </c>
    </row>
    <row r="465" spans="1:4" x14ac:dyDescent="0.3">
      <c r="A465" s="2">
        <v>45577.486111111109</v>
      </c>
      <c r="B465" s="30">
        <v>45577</v>
      </c>
      <c r="C465" t="s">
        <v>208</v>
      </c>
      <c r="D465">
        <v>5</v>
      </c>
    </row>
    <row r="466" spans="1:4" x14ac:dyDescent="0.3">
      <c r="A466" s="2">
        <v>45577.493055555555</v>
      </c>
      <c r="B466" s="30">
        <v>45577</v>
      </c>
      <c r="C466" t="s">
        <v>208</v>
      </c>
      <c r="D466">
        <v>5</v>
      </c>
    </row>
    <row r="467" spans="1:4" x14ac:dyDescent="0.3">
      <c r="A467" s="2">
        <v>45577.5</v>
      </c>
      <c r="B467" s="30">
        <v>45577</v>
      </c>
      <c r="C467" t="s">
        <v>209</v>
      </c>
      <c r="D467">
        <v>5</v>
      </c>
    </row>
    <row r="468" spans="1:4" x14ac:dyDescent="0.3">
      <c r="A468" s="2">
        <v>45577.506944444445</v>
      </c>
      <c r="B468" s="30">
        <v>45577</v>
      </c>
      <c r="C468" t="s">
        <v>209</v>
      </c>
      <c r="D468">
        <v>5</v>
      </c>
    </row>
    <row r="469" spans="1:4" x14ac:dyDescent="0.3">
      <c r="A469" s="2">
        <v>45577.513888888891</v>
      </c>
      <c r="B469" s="30">
        <v>45577</v>
      </c>
      <c r="C469" t="s">
        <v>209</v>
      </c>
      <c r="D469">
        <v>5</v>
      </c>
    </row>
    <row r="470" spans="1:4" x14ac:dyDescent="0.3">
      <c r="A470" s="2">
        <v>45577.520833333336</v>
      </c>
      <c r="B470" s="30">
        <v>45577</v>
      </c>
      <c r="C470" t="s">
        <v>209</v>
      </c>
      <c r="D470">
        <v>5</v>
      </c>
    </row>
    <row r="471" spans="1:4" x14ac:dyDescent="0.3">
      <c r="A471" s="2">
        <v>45577.527777777781</v>
      </c>
      <c r="B471" s="30">
        <v>45577</v>
      </c>
      <c r="C471" t="s">
        <v>209</v>
      </c>
      <c r="D471">
        <v>4</v>
      </c>
    </row>
    <row r="472" spans="1:4" x14ac:dyDescent="0.3">
      <c r="A472" s="2">
        <v>45577.534722222219</v>
      </c>
      <c r="B472" s="30">
        <v>45577</v>
      </c>
      <c r="C472" t="s">
        <v>209</v>
      </c>
      <c r="D472">
        <v>3</v>
      </c>
    </row>
    <row r="473" spans="1:4" x14ac:dyDescent="0.3">
      <c r="A473" s="2">
        <v>45577.541666666664</v>
      </c>
      <c r="B473" s="30">
        <v>45577</v>
      </c>
      <c r="C473" t="s">
        <v>210</v>
      </c>
      <c r="D473">
        <v>3</v>
      </c>
    </row>
    <row r="474" spans="1:4" x14ac:dyDescent="0.3">
      <c r="A474" s="2">
        <v>45577.548611111109</v>
      </c>
      <c r="B474" s="30">
        <v>45577</v>
      </c>
      <c r="C474" t="s">
        <v>210</v>
      </c>
      <c r="D474">
        <v>3</v>
      </c>
    </row>
    <row r="475" spans="1:4" x14ac:dyDescent="0.3">
      <c r="A475" s="2">
        <v>45577.555555555555</v>
      </c>
      <c r="B475" s="30">
        <v>45577</v>
      </c>
      <c r="C475" t="s">
        <v>210</v>
      </c>
      <c r="D475">
        <v>3</v>
      </c>
    </row>
    <row r="476" spans="1:4" x14ac:dyDescent="0.3">
      <c r="A476" s="2">
        <v>45577.5625</v>
      </c>
      <c r="B476" s="30">
        <v>45577</v>
      </c>
      <c r="C476" t="s">
        <v>210</v>
      </c>
      <c r="D476">
        <v>3</v>
      </c>
    </row>
    <row r="477" spans="1:4" x14ac:dyDescent="0.3">
      <c r="A477" s="2">
        <v>45577.569444444445</v>
      </c>
      <c r="B477" s="30">
        <v>45577</v>
      </c>
      <c r="C477" t="s">
        <v>210</v>
      </c>
      <c r="D477">
        <v>3</v>
      </c>
    </row>
    <row r="478" spans="1:4" x14ac:dyDescent="0.3">
      <c r="A478" s="2">
        <v>45577.576388888891</v>
      </c>
      <c r="B478" s="30">
        <v>45577</v>
      </c>
      <c r="C478" t="s">
        <v>210</v>
      </c>
      <c r="D478">
        <v>3</v>
      </c>
    </row>
    <row r="479" spans="1:4" x14ac:dyDescent="0.3">
      <c r="A479" s="2">
        <v>45577.583333333336</v>
      </c>
      <c r="B479" s="30">
        <v>45577</v>
      </c>
      <c r="C479" t="s">
        <v>211</v>
      </c>
      <c r="D479">
        <v>3</v>
      </c>
    </row>
    <row r="480" spans="1:4" x14ac:dyDescent="0.3">
      <c r="A480" s="2">
        <v>45577.590277777781</v>
      </c>
      <c r="B480" s="30">
        <v>45577</v>
      </c>
      <c r="C480" t="s">
        <v>211</v>
      </c>
      <c r="D480">
        <v>3</v>
      </c>
    </row>
    <row r="481" spans="1:4" x14ac:dyDescent="0.3">
      <c r="A481" s="2">
        <v>45577.597222222219</v>
      </c>
      <c r="B481" s="30">
        <v>45577</v>
      </c>
      <c r="C481" t="s">
        <v>211</v>
      </c>
      <c r="D481">
        <v>2</v>
      </c>
    </row>
    <row r="482" spans="1:4" x14ac:dyDescent="0.3">
      <c r="A482" s="2">
        <v>45577.604166666664</v>
      </c>
      <c r="B482" s="30">
        <v>45577</v>
      </c>
      <c r="C482" t="s">
        <v>211</v>
      </c>
      <c r="D482">
        <v>2</v>
      </c>
    </row>
    <row r="483" spans="1:4" x14ac:dyDescent="0.3">
      <c r="A483" s="2">
        <v>45577.611111111109</v>
      </c>
      <c r="B483" s="30">
        <v>45577</v>
      </c>
      <c r="C483" t="s">
        <v>211</v>
      </c>
      <c r="D483">
        <v>2</v>
      </c>
    </row>
    <row r="484" spans="1:4" x14ac:dyDescent="0.3">
      <c r="A484" s="2">
        <v>45577.618055555555</v>
      </c>
      <c r="B484" s="30">
        <v>45577</v>
      </c>
      <c r="C484" t="s">
        <v>211</v>
      </c>
      <c r="D484">
        <v>2</v>
      </c>
    </row>
    <row r="485" spans="1:4" x14ac:dyDescent="0.3">
      <c r="A485" s="2">
        <v>45577.625</v>
      </c>
      <c r="B485" s="30">
        <v>45577</v>
      </c>
      <c r="C485" t="s">
        <v>212</v>
      </c>
      <c r="D485">
        <v>3</v>
      </c>
    </row>
    <row r="486" spans="1:4" x14ac:dyDescent="0.3">
      <c r="A486" s="2">
        <v>45577.631944444445</v>
      </c>
      <c r="B486" s="30">
        <v>45577</v>
      </c>
      <c r="C486" t="s">
        <v>212</v>
      </c>
      <c r="D486">
        <v>3</v>
      </c>
    </row>
    <row r="487" spans="1:4" x14ac:dyDescent="0.3">
      <c r="A487" s="2">
        <v>45577.638888888891</v>
      </c>
      <c r="B487" s="30">
        <v>45577</v>
      </c>
      <c r="C487" t="s">
        <v>212</v>
      </c>
      <c r="D487">
        <v>3</v>
      </c>
    </row>
    <row r="488" spans="1:4" x14ac:dyDescent="0.3">
      <c r="A488" s="2">
        <v>45577.645833333336</v>
      </c>
      <c r="B488" s="30">
        <v>45577</v>
      </c>
      <c r="C488" t="s">
        <v>212</v>
      </c>
      <c r="D488">
        <v>3</v>
      </c>
    </row>
    <row r="489" spans="1:4" x14ac:dyDescent="0.3">
      <c r="A489" s="2">
        <v>45577.652777777781</v>
      </c>
      <c r="B489" s="30">
        <v>45577</v>
      </c>
      <c r="C489" t="s">
        <v>212</v>
      </c>
      <c r="D489">
        <v>3</v>
      </c>
    </row>
    <row r="490" spans="1:4" x14ac:dyDescent="0.3">
      <c r="A490" s="2">
        <v>45577.659722222219</v>
      </c>
      <c r="B490" s="30">
        <v>45577</v>
      </c>
      <c r="C490" t="s">
        <v>212</v>
      </c>
      <c r="D490">
        <v>4</v>
      </c>
    </row>
    <row r="491" spans="1:4" x14ac:dyDescent="0.3">
      <c r="A491" s="2">
        <v>45577.666666666664</v>
      </c>
      <c r="B491" s="30">
        <v>45577</v>
      </c>
      <c r="C491" t="s">
        <v>213</v>
      </c>
      <c r="D491">
        <v>4</v>
      </c>
    </row>
    <row r="492" spans="1:4" x14ac:dyDescent="0.3">
      <c r="A492" s="2">
        <v>45577.673611111109</v>
      </c>
      <c r="B492" s="30">
        <v>45577</v>
      </c>
      <c r="C492" t="s">
        <v>213</v>
      </c>
      <c r="D492">
        <v>4</v>
      </c>
    </row>
    <row r="493" spans="1:4" x14ac:dyDescent="0.3">
      <c r="A493" s="2">
        <v>45577.680555555555</v>
      </c>
      <c r="B493" s="30">
        <v>45577</v>
      </c>
      <c r="C493" t="s">
        <v>213</v>
      </c>
      <c r="D493">
        <v>4</v>
      </c>
    </row>
    <row r="494" spans="1:4" x14ac:dyDescent="0.3">
      <c r="A494" s="2">
        <v>45577.6875</v>
      </c>
      <c r="B494" s="30">
        <v>45577</v>
      </c>
      <c r="C494" t="s">
        <v>213</v>
      </c>
      <c r="D494">
        <v>4</v>
      </c>
    </row>
    <row r="495" spans="1:4" x14ac:dyDescent="0.3">
      <c r="A495" s="2">
        <v>45577.694444444445</v>
      </c>
      <c r="B495" s="30">
        <v>45577</v>
      </c>
      <c r="C495" t="s">
        <v>213</v>
      </c>
      <c r="D495">
        <v>6</v>
      </c>
    </row>
    <row r="496" spans="1:4" x14ac:dyDescent="0.3">
      <c r="A496" s="2">
        <v>45577.70140046296</v>
      </c>
      <c r="B496" s="30">
        <v>45577</v>
      </c>
      <c r="C496" t="s">
        <v>213</v>
      </c>
      <c r="D496">
        <v>0</v>
      </c>
    </row>
    <row r="497" spans="1:4" x14ac:dyDescent="0.3">
      <c r="A497" s="2">
        <v>45577.708333333336</v>
      </c>
      <c r="B497" s="30">
        <v>45577</v>
      </c>
      <c r="C497" t="s">
        <v>174</v>
      </c>
      <c r="D497">
        <v>0</v>
      </c>
    </row>
    <row r="498" spans="1:4" x14ac:dyDescent="0.3">
      <c r="A498" s="2">
        <v>45577.71534722222</v>
      </c>
      <c r="B498" s="30">
        <v>45577</v>
      </c>
      <c r="C498" t="s">
        <v>174</v>
      </c>
      <c r="D498">
        <v>0</v>
      </c>
    </row>
    <row r="499" spans="1:4" x14ac:dyDescent="0.3">
      <c r="A499" s="2">
        <v>45577.722222222219</v>
      </c>
      <c r="B499" s="30">
        <v>45577</v>
      </c>
      <c r="C499" t="s">
        <v>174</v>
      </c>
      <c r="D499">
        <v>0</v>
      </c>
    </row>
    <row r="500" spans="1:4" x14ac:dyDescent="0.3">
      <c r="A500" s="2">
        <v>45577.729166666664</v>
      </c>
      <c r="B500" s="30">
        <v>45577</v>
      </c>
      <c r="C500" t="s">
        <v>174</v>
      </c>
      <c r="D500">
        <v>1</v>
      </c>
    </row>
    <row r="501" spans="1:4" x14ac:dyDescent="0.3">
      <c r="A501" s="2">
        <v>45577.736111111109</v>
      </c>
      <c r="B501" s="30">
        <v>45577</v>
      </c>
      <c r="C501" t="s">
        <v>174</v>
      </c>
      <c r="D501">
        <v>0</v>
      </c>
    </row>
    <row r="502" spans="1:4" x14ac:dyDescent="0.3">
      <c r="A502" s="2">
        <v>45577.743067129632</v>
      </c>
      <c r="B502" s="30">
        <v>45577</v>
      </c>
      <c r="C502" t="s">
        <v>174</v>
      </c>
      <c r="D502">
        <v>1</v>
      </c>
    </row>
    <row r="503" spans="1:4" x14ac:dyDescent="0.3">
      <c r="A503" s="2">
        <v>45577.75</v>
      </c>
      <c r="B503" s="30">
        <v>45577</v>
      </c>
      <c r="C503" t="s">
        <v>175</v>
      </c>
      <c r="D503">
        <v>1</v>
      </c>
    </row>
    <row r="504" spans="1:4" x14ac:dyDescent="0.3">
      <c r="A504" s="2">
        <v>45577.756944444445</v>
      </c>
      <c r="B504" s="30">
        <v>45577</v>
      </c>
      <c r="C504" t="s">
        <v>175</v>
      </c>
      <c r="D504">
        <v>1</v>
      </c>
    </row>
    <row r="505" spans="1:4" x14ac:dyDescent="0.3">
      <c r="A505" s="2">
        <v>45577.763888888891</v>
      </c>
      <c r="B505" s="30">
        <v>45577</v>
      </c>
      <c r="C505" t="s">
        <v>175</v>
      </c>
      <c r="D505">
        <v>0</v>
      </c>
    </row>
    <row r="506" spans="1:4" x14ac:dyDescent="0.3">
      <c r="A506" s="2">
        <v>45577.770833333336</v>
      </c>
      <c r="B506" s="30">
        <v>45577</v>
      </c>
      <c r="C506" t="s">
        <v>175</v>
      </c>
      <c r="D506">
        <v>0</v>
      </c>
    </row>
    <row r="507" spans="1:4" x14ac:dyDescent="0.3">
      <c r="A507" s="2">
        <v>45577.777789351851</v>
      </c>
      <c r="B507" s="30">
        <v>45577</v>
      </c>
      <c r="C507" t="s">
        <v>175</v>
      </c>
      <c r="D507">
        <v>0</v>
      </c>
    </row>
    <row r="508" spans="1:4" x14ac:dyDescent="0.3">
      <c r="A508" s="2">
        <v>45577.784722222219</v>
      </c>
      <c r="B508" s="30">
        <v>45577</v>
      </c>
      <c r="C508" t="s">
        <v>175</v>
      </c>
      <c r="D508">
        <v>0</v>
      </c>
    </row>
    <row r="509" spans="1:4" x14ac:dyDescent="0.3">
      <c r="A509" s="2">
        <v>45577.791666666664</v>
      </c>
      <c r="B509" s="30">
        <v>45577</v>
      </c>
      <c r="C509" t="s">
        <v>192</v>
      </c>
      <c r="D509">
        <v>0</v>
      </c>
    </row>
    <row r="510" spans="1:4" x14ac:dyDescent="0.3">
      <c r="A510" s="2">
        <v>45577.798611111109</v>
      </c>
      <c r="B510" s="30">
        <v>45577</v>
      </c>
      <c r="C510" t="s">
        <v>192</v>
      </c>
      <c r="D510">
        <v>0</v>
      </c>
    </row>
    <row r="511" spans="1:4" x14ac:dyDescent="0.3">
      <c r="A511" s="2">
        <v>45577.805555555555</v>
      </c>
      <c r="B511" s="30">
        <v>45577</v>
      </c>
      <c r="C511" t="s">
        <v>192</v>
      </c>
      <c r="D511">
        <v>0</v>
      </c>
    </row>
    <row r="512" spans="1:4" x14ac:dyDescent="0.3">
      <c r="A512" s="2">
        <v>45577.812511574077</v>
      </c>
      <c r="B512" s="30">
        <v>45577</v>
      </c>
      <c r="C512" t="s">
        <v>192</v>
      </c>
      <c r="D512">
        <v>0</v>
      </c>
    </row>
    <row r="513" spans="1:4" x14ac:dyDescent="0.3">
      <c r="A513" s="2">
        <v>45577.819444444445</v>
      </c>
      <c r="B513" s="30">
        <v>45577</v>
      </c>
      <c r="C513" t="s">
        <v>192</v>
      </c>
      <c r="D513">
        <v>0</v>
      </c>
    </row>
    <row r="514" spans="1:4" x14ac:dyDescent="0.3">
      <c r="A514" s="2">
        <v>45577.826388888891</v>
      </c>
      <c r="B514" s="30">
        <v>45577</v>
      </c>
      <c r="C514" t="s">
        <v>192</v>
      </c>
      <c r="D514">
        <v>0</v>
      </c>
    </row>
    <row r="515" spans="1:4" x14ac:dyDescent="0.3">
      <c r="A515" s="2">
        <v>45577.833333333336</v>
      </c>
      <c r="B515" s="30">
        <v>45577</v>
      </c>
      <c r="C515" t="s">
        <v>193</v>
      </c>
      <c r="D515">
        <v>1</v>
      </c>
    </row>
    <row r="516" spans="1:4" x14ac:dyDescent="0.3">
      <c r="A516" s="2">
        <v>45577.840289351851</v>
      </c>
      <c r="B516" s="30">
        <v>45577</v>
      </c>
      <c r="C516" t="s">
        <v>193</v>
      </c>
      <c r="D516">
        <v>1</v>
      </c>
    </row>
    <row r="517" spans="1:4" x14ac:dyDescent="0.3">
      <c r="A517" s="2">
        <v>45577.847233796296</v>
      </c>
      <c r="B517" s="30">
        <v>45577</v>
      </c>
      <c r="C517" t="s">
        <v>193</v>
      </c>
      <c r="D517">
        <v>1</v>
      </c>
    </row>
    <row r="518" spans="1:4" x14ac:dyDescent="0.3">
      <c r="A518" s="2">
        <v>45577.854166666664</v>
      </c>
      <c r="B518" s="30">
        <v>45577</v>
      </c>
      <c r="C518" t="s">
        <v>193</v>
      </c>
      <c r="D518">
        <v>0</v>
      </c>
    </row>
    <row r="519" spans="1:4" x14ac:dyDescent="0.3">
      <c r="A519" s="2">
        <v>45579.340289351851</v>
      </c>
      <c r="B519" s="30">
        <v>45579</v>
      </c>
      <c r="C519" t="s">
        <v>205</v>
      </c>
      <c r="D519">
        <v>0</v>
      </c>
    </row>
    <row r="520" spans="1:4" x14ac:dyDescent="0.3">
      <c r="A520" s="2">
        <v>45579.347222222219</v>
      </c>
      <c r="B520" s="30">
        <v>45579</v>
      </c>
      <c r="C520" t="s">
        <v>205</v>
      </c>
      <c r="D520">
        <v>0</v>
      </c>
    </row>
    <row r="521" spans="1:4" x14ac:dyDescent="0.3">
      <c r="A521" s="2">
        <v>45579.354166666664</v>
      </c>
      <c r="B521" s="30">
        <v>45579</v>
      </c>
      <c r="C521" t="s">
        <v>205</v>
      </c>
      <c r="D521">
        <v>0</v>
      </c>
    </row>
    <row r="522" spans="1:4" x14ac:dyDescent="0.3">
      <c r="A522" s="2">
        <v>45579.361111111109</v>
      </c>
      <c r="B522" s="30">
        <v>45579</v>
      </c>
      <c r="C522" t="s">
        <v>205</v>
      </c>
      <c r="D522">
        <v>0</v>
      </c>
    </row>
    <row r="523" spans="1:4" x14ac:dyDescent="0.3">
      <c r="A523" s="2">
        <v>45579.368055555555</v>
      </c>
      <c r="B523" s="30">
        <v>45579</v>
      </c>
      <c r="C523" t="s">
        <v>205</v>
      </c>
      <c r="D523">
        <v>0</v>
      </c>
    </row>
    <row r="524" spans="1:4" x14ac:dyDescent="0.3">
      <c r="A524" s="2">
        <v>45579.375011574077</v>
      </c>
      <c r="B524" s="30">
        <v>45579</v>
      </c>
      <c r="C524" t="s">
        <v>206</v>
      </c>
      <c r="D524">
        <v>0</v>
      </c>
    </row>
    <row r="525" spans="1:4" x14ac:dyDescent="0.3">
      <c r="A525" s="2">
        <v>45579.381944444445</v>
      </c>
      <c r="B525" s="30">
        <v>45579</v>
      </c>
      <c r="C525" t="s">
        <v>206</v>
      </c>
      <c r="D525">
        <v>0</v>
      </c>
    </row>
    <row r="526" spans="1:4" x14ac:dyDescent="0.3">
      <c r="A526" s="2">
        <v>45579.388888888891</v>
      </c>
      <c r="B526" s="30">
        <v>45579</v>
      </c>
      <c r="C526" t="s">
        <v>206</v>
      </c>
      <c r="D526">
        <v>0</v>
      </c>
    </row>
    <row r="527" spans="1:4" x14ac:dyDescent="0.3">
      <c r="A527" s="2">
        <v>45579.395833333336</v>
      </c>
      <c r="B527" s="30">
        <v>45579</v>
      </c>
      <c r="C527" t="s">
        <v>206</v>
      </c>
      <c r="D527">
        <v>0</v>
      </c>
    </row>
    <row r="528" spans="1:4" x14ac:dyDescent="0.3">
      <c r="A528" s="2">
        <v>45579.402777777781</v>
      </c>
      <c r="B528" s="30">
        <v>45579</v>
      </c>
      <c r="C528" t="s">
        <v>206</v>
      </c>
      <c r="D528">
        <v>1</v>
      </c>
    </row>
    <row r="529" spans="1:4" x14ac:dyDescent="0.3">
      <c r="A529" s="2">
        <v>45579.409733796296</v>
      </c>
      <c r="B529" s="30">
        <v>45579</v>
      </c>
      <c r="C529" t="s">
        <v>206</v>
      </c>
      <c r="D529">
        <v>1</v>
      </c>
    </row>
    <row r="530" spans="1:4" x14ac:dyDescent="0.3">
      <c r="A530" s="2">
        <v>45579.416666666664</v>
      </c>
      <c r="B530" s="30">
        <v>45579</v>
      </c>
      <c r="C530" t="s">
        <v>207</v>
      </c>
      <c r="D530">
        <v>3</v>
      </c>
    </row>
    <row r="531" spans="1:4" x14ac:dyDescent="0.3">
      <c r="A531" s="2">
        <v>45579.423611111109</v>
      </c>
      <c r="B531" s="30">
        <v>45579</v>
      </c>
      <c r="C531" t="s">
        <v>207</v>
      </c>
      <c r="D531">
        <v>2</v>
      </c>
    </row>
    <row r="532" spans="1:4" x14ac:dyDescent="0.3">
      <c r="A532" s="2">
        <v>45579.430567129632</v>
      </c>
      <c r="B532" s="30">
        <v>45579</v>
      </c>
      <c r="C532" t="s">
        <v>207</v>
      </c>
      <c r="D532">
        <v>3</v>
      </c>
    </row>
    <row r="533" spans="1:4" x14ac:dyDescent="0.3">
      <c r="A533" s="2">
        <v>45579.437511574077</v>
      </c>
      <c r="B533" s="30">
        <v>45579</v>
      </c>
      <c r="C533" t="s">
        <v>207</v>
      </c>
      <c r="D533">
        <v>3</v>
      </c>
    </row>
    <row r="534" spans="1:4" x14ac:dyDescent="0.3">
      <c r="A534" s="2">
        <v>45579.444444444445</v>
      </c>
      <c r="B534" s="30">
        <v>45579</v>
      </c>
      <c r="C534" t="s">
        <v>207</v>
      </c>
      <c r="D534">
        <v>3</v>
      </c>
    </row>
    <row r="535" spans="1:4" x14ac:dyDescent="0.3">
      <c r="A535" s="2">
        <v>45579.451388888891</v>
      </c>
      <c r="B535" s="30">
        <v>45579</v>
      </c>
      <c r="C535" t="s">
        <v>207</v>
      </c>
      <c r="D535">
        <v>0</v>
      </c>
    </row>
    <row r="536" spans="1:4" x14ac:dyDescent="0.3">
      <c r="A536" s="2">
        <v>45579.458344907405</v>
      </c>
      <c r="B536" s="30">
        <v>45579</v>
      </c>
      <c r="C536" t="s">
        <v>208</v>
      </c>
      <c r="D536">
        <v>3</v>
      </c>
    </row>
    <row r="537" spans="1:4" x14ac:dyDescent="0.3">
      <c r="A537" s="2">
        <v>45579.465277777781</v>
      </c>
      <c r="B537" s="30">
        <v>45579</v>
      </c>
      <c r="C537" t="s">
        <v>208</v>
      </c>
      <c r="D537">
        <v>2</v>
      </c>
    </row>
    <row r="538" spans="1:4" x14ac:dyDescent="0.3">
      <c r="A538" s="2">
        <v>45579.472233796296</v>
      </c>
      <c r="B538" s="30">
        <v>45579</v>
      </c>
      <c r="C538" t="s">
        <v>208</v>
      </c>
      <c r="D538">
        <v>2</v>
      </c>
    </row>
    <row r="539" spans="1:4" x14ac:dyDescent="0.3">
      <c r="A539" s="2">
        <v>45579.479166666664</v>
      </c>
      <c r="B539" s="30">
        <v>45579</v>
      </c>
      <c r="C539" t="s">
        <v>208</v>
      </c>
      <c r="D539">
        <v>0</v>
      </c>
    </row>
  </sheetData>
  <hyperlinks>
    <hyperlink ref="C1" location="Dashboard!A1" display="Dashboard" xr:uid="{4A2974AE-2AC7-4337-8826-25E4BB0E14BF}"/>
  </hyperlinks>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ECDF-EBF1-47D4-9DAB-1F379B84885F}">
  <sheetPr codeName="Sheet13">
    <tabColor rgb="FFFFCCED"/>
  </sheetPr>
  <dimension ref="A1:C13"/>
  <sheetViews>
    <sheetView showGridLines="0" zoomScaleNormal="100" workbookViewId="0">
      <selection activeCell="C8" sqref="C8"/>
    </sheetView>
  </sheetViews>
  <sheetFormatPr defaultRowHeight="14.4" x14ac:dyDescent="0.3"/>
  <cols>
    <col min="1" max="1" width="10.33203125" bestFit="1" customWidth="1"/>
    <col min="2" max="2" width="16.88671875" bestFit="1" customWidth="1"/>
    <col min="3" max="3" width="11.33203125" bestFit="1" customWidth="1"/>
  </cols>
  <sheetData>
    <row r="1" spans="1:3" x14ac:dyDescent="0.3">
      <c r="B1" s="40" t="s">
        <v>41</v>
      </c>
    </row>
    <row r="3" spans="1:3" x14ac:dyDescent="0.3">
      <c r="A3" t="s">
        <v>155</v>
      </c>
      <c r="B3" t="s">
        <v>70</v>
      </c>
      <c r="C3" t="s">
        <v>73</v>
      </c>
    </row>
    <row r="4" spans="1:3" x14ac:dyDescent="0.3">
      <c r="A4" t="s">
        <v>176</v>
      </c>
      <c r="B4" s="24">
        <v>45579.402777777781</v>
      </c>
      <c r="C4">
        <v>1</v>
      </c>
    </row>
    <row r="5" spans="1:3" x14ac:dyDescent="0.3">
      <c r="A5" t="s">
        <v>176</v>
      </c>
      <c r="B5" s="24">
        <v>45579.409733796296</v>
      </c>
      <c r="C5">
        <v>1</v>
      </c>
    </row>
    <row r="6" spans="1:3" x14ac:dyDescent="0.3">
      <c r="A6" t="s">
        <v>176</v>
      </c>
      <c r="B6" s="24">
        <v>45579.416666666664</v>
      </c>
      <c r="C6">
        <v>3</v>
      </c>
    </row>
    <row r="7" spans="1:3" x14ac:dyDescent="0.3">
      <c r="A7" t="s">
        <v>176</v>
      </c>
      <c r="B7" s="24">
        <v>45579.423611111109</v>
      </c>
      <c r="C7">
        <v>2</v>
      </c>
    </row>
    <row r="8" spans="1:3" x14ac:dyDescent="0.3">
      <c r="A8" t="s">
        <v>176</v>
      </c>
      <c r="B8" s="24">
        <v>45579.430567129632</v>
      </c>
      <c r="C8">
        <v>3</v>
      </c>
    </row>
    <row r="9" spans="1:3" x14ac:dyDescent="0.3">
      <c r="A9" t="s">
        <v>176</v>
      </c>
      <c r="B9" s="24">
        <v>45579.437511574077</v>
      </c>
      <c r="C9">
        <v>3</v>
      </c>
    </row>
    <row r="10" spans="1:3" x14ac:dyDescent="0.3">
      <c r="A10" t="s">
        <v>176</v>
      </c>
      <c r="B10" s="24">
        <v>45579.444444444445</v>
      </c>
      <c r="C10">
        <v>3</v>
      </c>
    </row>
    <row r="11" spans="1:3" x14ac:dyDescent="0.3">
      <c r="A11" t="s">
        <v>176</v>
      </c>
      <c r="B11" s="24">
        <v>45579.458344907405</v>
      </c>
      <c r="C11">
        <v>3</v>
      </c>
    </row>
    <row r="12" spans="1:3" x14ac:dyDescent="0.3">
      <c r="A12" t="s">
        <v>176</v>
      </c>
      <c r="B12" s="24">
        <v>45579.465277777781</v>
      </c>
      <c r="C12">
        <v>2</v>
      </c>
    </row>
    <row r="13" spans="1:3" x14ac:dyDescent="0.3">
      <c r="A13" t="s">
        <v>176</v>
      </c>
      <c r="B13" s="24">
        <v>45579.472233796296</v>
      </c>
      <c r="C13">
        <v>2</v>
      </c>
    </row>
  </sheetData>
  <hyperlinks>
    <hyperlink ref="B1" location="Dashboard!A1" display="Dashboard" xr:uid="{D6346E2C-2774-4C8A-AFC2-99D3A50DA4C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FF00"/>
  </sheetPr>
  <dimension ref="A1:K24"/>
  <sheetViews>
    <sheetView tabSelected="1" workbookViewId="0">
      <selection activeCell="B1" sqref="B1"/>
    </sheetView>
  </sheetViews>
  <sheetFormatPr defaultRowHeight="14.4" x14ac:dyDescent="0.3"/>
  <cols>
    <col min="1" max="1" width="11.33203125" bestFit="1" customWidth="1"/>
    <col min="2" max="2" width="34" customWidth="1"/>
    <col min="3" max="3" width="11.109375" bestFit="1" customWidth="1"/>
    <col min="4" max="4" width="9.6640625" bestFit="1" customWidth="1"/>
    <col min="5" max="5" width="19.44140625" customWidth="1"/>
    <col min="7" max="7" width="11.44140625" customWidth="1"/>
    <col min="8" max="8" width="26" customWidth="1"/>
    <col min="10" max="10" width="20.5546875" bestFit="1" customWidth="1"/>
  </cols>
  <sheetData>
    <row r="1" spans="1:11" ht="25.2" thickBot="1" x14ac:dyDescent="0.45">
      <c r="A1" s="25" t="s">
        <v>24</v>
      </c>
      <c r="B1" s="26" t="s">
        <v>280</v>
      </c>
      <c r="C1" s="54" t="s">
        <v>26</v>
      </c>
      <c r="D1" s="82" t="s">
        <v>32</v>
      </c>
      <c r="E1" s="82"/>
      <c r="F1" s="27"/>
      <c r="H1" s="42" t="s">
        <v>41</v>
      </c>
    </row>
    <row r="2" spans="1:11" x14ac:dyDescent="0.3">
      <c r="B2" s="60" t="s">
        <v>20</v>
      </c>
      <c r="C2" s="55"/>
      <c r="D2" s="82"/>
      <c r="E2" s="82"/>
    </row>
    <row r="3" spans="1:11" ht="41.25" customHeight="1" thickBot="1" x14ac:dyDescent="0.35">
      <c r="C3" s="56" t="s">
        <v>27</v>
      </c>
    </row>
    <row r="4" spans="1:11" ht="26.25" customHeight="1" thickBot="1" x14ac:dyDescent="0.55000000000000004">
      <c r="A4" s="25" t="s">
        <v>25</v>
      </c>
      <c r="B4" s="21" t="s">
        <v>281</v>
      </c>
      <c r="C4" s="54" t="s">
        <v>28</v>
      </c>
      <c r="D4" s="93" t="s">
        <v>282</v>
      </c>
      <c r="E4" s="93"/>
      <c r="F4" s="93"/>
      <c r="G4" s="93"/>
      <c r="I4" s="52"/>
    </row>
    <row r="5" spans="1:11" ht="35.25" customHeight="1" x14ac:dyDescent="0.4">
      <c r="C5" s="54" t="s">
        <v>29</v>
      </c>
    </row>
    <row r="6" spans="1:11" x14ac:dyDescent="0.3">
      <c r="C6" s="55"/>
    </row>
    <row r="7" spans="1:11" ht="30" customHeight="1" x14ac:dyDescent="0.3">
      <c r="C7" s="56" t="s">
        <v>30</v>
      </c>
    </row>
    <row r="8" spans="1:11" ht="15.75" customHeight="1" x14ac:dyDescent="0.3">
      <c r="C8" s="57"/>
    </row>
    <row r="9" spans="1:11" ht="23.4" x14ac:dyDescent="0.45">
      <c r="B9" t="s">
        <v>60</v>
      </c>
      <c r="C9" s="61" t="s">
        <v>56</v>
      </c>
    </row>
    <row r="10" spans="1:11" ht="15" thickBot="1" x14ac:dyDescent="0.35"/>
    <row r="11" spans="1:11" x14ac:dyDescent="0.3">
      <c r="A11" s="84" t="s">
        <v>54</v>
      </c>
      <c r="B11" s="86">
        <v>5</v>
      </c>
      <c r="C11" s="88" t="s">
        <v>53</v>
      </c>
      <c r="D11" s="89" t="s">
        <v>31</v>
      </c>
      <c r="G11" s="91" t="s">
        <v>33</v>
      </c>
    </row>
    <row r="12" spans="1:11" ht="15" customHeight="1" thickBot="1" x14ac:dyDescent="0.35">
      <c r="A12" s="84"/>
      <c r="B12" s="87"/>
      <c r="C12" s="88"/>
      <c r="D12" s="90"/>
      <c r="G12" s="92"/>
    </row>
    <row r="13" spans="1:11" ht="15" customHeight="1" x14ac:dyDescent="0.4">
      <c r="B13" s="59"/>
      <c r="C13" s="58"/>
      <c r="D13" s="51"/>
      <c r="G13" s="53"/>
      <c r="J13" s="49"/>
      <c r="K13" s="28"/>
    </row>
    <row r="14" spans="1:11" ht="24" customHeight="1" x14ac:dyDescent="0.4">
      <c r="B14" s="49" t="s">
        <v>55</v>
      </c>
      <c r="C14" s="28" t="str">
        <f>"If you've followed all the steps, the Dashboard will refresh every " &amp; RefreshRate &amp; " minutes."</f>
        <v>If you've followed all the steps, the Dashboard will refresh every 5 minutes.</v>
      </c>
      <c r="D14" s="51"/>
      <c r="G14" s="53"/>
      <c r="J14" s="49"/>
      <c r="K14" s="28"/>
    </row>
    <row r="15" spans="1:11" ht="15" thickBot="1" x14ac:dyDescent="0.35"/>
    <row r="16" spans="1:11" s="28" customFormat="1" ht="29.25" customHeight="1" thickBot="1" x14ac:dyDescent="0.35">
      <c r="A16" s="65" t="s">
        <v>26</v>
      </c>
      <c r="B16" s="85" t="s">
        <v>35</v>
      </c>
      <c r="C16" s="85"/>
      <c r="D16" s="85"/>
      <c r="E16" s="85"/>
      <c r="F16" s="85"/>
      <c r="G16" s="85"/>
      <c r="H16" s="85"/>
    </row>
    <row r="17" spans="1:8" s="28" customFormat="1" ht="34.5" customHeight="1" thickBot="1" x14ac:dyDescent="0.35">
      <c r="A17" s="65" t="s">
        <v>27</v>
      </c>
      <c r="B17" s="85" t="s">
        <v>37</v>
      </c>
      <c r="C17" s="85"/>
      <c r="D17" s="85"/>
      <c r="E17" s="85"/>
      <c r="F17" s="85"/>
      <c r="G17" s="85"/>
      <c r="H17" s="85"/>
    </row>
    <row r="18" spans="1:8" s="28" customFormat="1" ht="22.8" thickBot="1" x14ac:dyDescent="0.35">
      <c r="A18" s="65" t="s">
        <v>28</v>
      </c>
      <c r="B18" s="83" t="s">
        <v>283</v>
      </c>
      <c r="C18" s="83"/>
      <c r="D18" s="83"/>
      <c r="E18" s="83"/>
      <c r="F18" s="83"/>
      <c r="G18" s="83"/>
      <c r="H18" s="83"/>
    </row>
    <row r="19" spans="1:8" s="28" customFormat="1" ht="22.8" thickBot="1" x14ac:dyDescent="0.35">
      <c r="A19" s="65" t="s">
        <v>29</v>
      </c>
      <c r="B19" s="83" t="s">
        <v>36</v>
      </c>
      <c r="C19" s="83"/>
      <c r="D19" s="83"/>
      <c r="E19" s="83"/>
      <c r="F19" s="83"/>
      <c r="G19" s="83"/>
      <c r="H19" s="83"/>
    </row>
    <row r="20" spans="1:8" s="28" customFormat="1" ht="39.75" customHeight="1" thickBot="1" x14ac:dyDescent="0.35">
      <c r="A20" s="65" t="s">
        <v>30</v>
      </c>
      <c r="B20" s="85" t="s">
        <v>58</v>
      </c>
      <c r="C20" s="85"/>
      <c r="D20" s="85"/>
      <c r="E20" s="85"/>
      <c r="F20" s="85"/>
      <c r="G20" s="85"/>
      <c r="H20" s="85"/>
    </row>
    <row r="21" spans="1:8" s="28" customFormat="1" ht="24" thickBot="1" x14ac:dyDescent="0.35">
      <c r="A21" s="65" t="s">
        <v>56</v>
      </c>
      <c r="B21" s="83" t="s">
        <v>57</v>
      </c>
      <c r="C21" s="83"/>
      <c r="D21" s="83"/>
      <c r="E21" s="83"/>
      <c r="F21" s="83"/>
      <c r="G21" s="83"/>
      <c r="H21" s="83"/>
    </row>
    <row r="22" spans="1:8" s="28" customFormat="1" ht="22.8" thickBot="1" x14ac:dyDescent="0.35">
      <c r="A22" s="65" t="s">
        <v>31</v>
      </c>
      <c r="B22" s="83" t="s">
        <v>59</v>
      </c>
      <c r="C22" s="83"/>
      <c r="D22" s="83"/>
      <c r="E22" s="83"/>
      <c r="F22" s="83"/>
      <c r="G22" s="83"/>
      <c r="H22" s="83"/>
    </row>
    <row r="23" spans="1:8" s="28" customFormat="1" ht="22.8" thickBot="1" x14ac:dyDescent="0.35">
      <c r="A23" s="65" t="s">
        <v>33</v>
      </c>
      <c r="B23" s="83" t="s">
        <v>61</v>
      </c>
      <c r="C23" s="83"/>
      <c r="D23" s="83"/>
      <c r="E23" s="83"/>
      <c r="F23" s="83"/>
      <c r="G23" s="83"/>
      <c r="H23" s="83"/>
    </row>
    <row r="24" spans="1:8" s="28" customFormat="1" ht="22.8" thickBot="1" x14ac:dyDescent="0.35">
      <c r="A24" s="65" t="s">
        <v>55</v>
      </c>
      <c r="B24" s="83" t="s">
        <v>34</v>
      </c>
      <c r="C24" s="83"/>
      <c r="D24" s="83"/>
      <c r="E24" s="83"/>
      <c r="F24" s="83"/>
      <c r="G24" s="83"/>
      <c r="H24" s="83"/>
    </row>
  </sheetData>
  <mergeCells count="15">
    <mergeCell ref="B22:H22"/>
    <mergeCell ref="B23:H23"/>
    <mergeCell ref="B24:H24"/>
    <mergeCell ref="B17:H17"/>
    <mergeCell ref="B16:H16"/>
    <mergeCell ref="B18:H18"/>
    <mergeCell ref="D1:E2"/>
    <mergeCell ref="B21:H21"/>
    <mergeCell ref="A11:A12"/>
    <mergeCell ref="B19:H19"/>
    <mergeCell ref="B20:H20"/>
    <mergeCell ref="B11:B12"/>
    <mergeCell ref="C11:C12"/>
    <mergeCell ref="D11:D12"/>
    <mergeCell ref="G11:G12"/>
  </mergeCells>
  <dataValidations count="1">
    <dataValidation type="whole" allowBlank="1" showInputMessage="1" showErrorMessage="1" promptTitle="Refresh Rate" prompt="Enter a whole number between 1 and 15" sqref="B11:B14" xr:uid="{889A6757-E664-488F-B4F9-5C7575460897}">
      <formula1>1</formula1>
      <formula2>15</formula2>
    </dataValidation>
  </dataValidations>
  <hyperlinks>
    <hyperlink ref="H1" location="Dashboard!A1" display="Dashboard" xr:uid="{5BA4E3DE-8C2C-4930-8C77-ECDC0C3A0575}"/>
  </hyperlink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4338" r:id="rId4" name="cmdShowConnections">
          <controlPr defaultSize="0" autoFill="0" autoLine="0" r:id="rId5">
            <anchor moveWithCells="1">
              <from>
                <xdr:col>6</xdr:col>
                <xdr:colOff>60960</xdr:colOff>
                <xdr:row>4</xdr:row>
                <xdr:rowOff>274320</xdr:rowOff>
              </from>
              <to>
                <xdr:col>7</xdr:col>
                <xdr:colOff>754380</xdr:colOff>
                <xdr:row>5</xdr:row>
                <xdr:rowOff>121920</xdr:rowOff>
              </to>
            </anchor>
          </controlPr>
        </control>
      </mc:Choice>
      <mc:Fallback>
        <control shapeId="14338" r:id="rId4" name="cmdShowConnections"/>
      </mc:Fallback>
    </mc:AlternateContent>
    <mc:AlternateContent xmlns:mc="http://schemas.openxmlformats.org/markup-compatibility/2006">
      <mc:Choice Requires="x14">
        <control shapeId="14339" r:id="rId6" name="cmdUpdateConnections">
          <controlPr defaultSize="0" disabled="1" autoFill="0" autoLine="0" r:id="rId7">
            <anchor moveWithCells="1">
              <from>
                <xdr:col>1</xdr:col>
                <xdr:colOff>114300</xdr:colOff>
                <xdr:row>6</xdr:row>
                <xdr:rowOff>30480</xdr:rowOff>
              </from>
              <to>
                <xdr:col>1</xdr:col>
                <xdr:colOff>1676400</xdr:colOff>
                <xdr:row>7</xdr:row>
                <xdr:rowOff>7620</xdr:rowOff>
              </to>
            </anchor>
          </controlPr>
        </control>
      </mc:Choice>
      <mc:Fallback>
        <control shapeId="14339" r:id="rId6" name="cmdUpdateConnections"/>
      </mc:Fallback>
    </mc:AlternateContent>
    <mc:AlternateContent xmlns:mc="http://schemas.openxmlformats.org/markup-compatibility/2006">
      <mc:Choice Requires="x14">
        <control shapeId="14340" r:id="rId8" name="cmdTestCommandText">
          <controlPr defaultSize="0" autoLine="0" r:id="rId9">
            <anchor moveWithCells="1">
              <from>
                <xdr:col>1</xdr:col>
                <xdr:colOff>144780</xdr:colOff>
                <xdr:row>2</xdr:row>
                <xdr:rowOff>76200</xdr:rowOff>
              </from>
              <to>
                <xdr:col>1</xdr:col>
                <xdr:colOff>1684020</xdr:colOff>
                <xdr:row>2</xdr:row>
                <xdr:rowOff>457200</xdr:rowOff>
              </to>
            </anchor>
          </controlPr>
        </control>
      </mc:Choice>
      <mc:Fallback>
        <control shapeId="14340" r:id="rId8" name="cmdTestCommandText"/>
      </mc:Fallback>
    </mc:AlternateContent>
    <mc:AlternateContent xmlns:mc="http://schemas.openxmlformats.org/markup-compatibility/2006">
      <mc:Choice Requires="x14">
        <control shapeId="14341" r:id="rId10" name="cmdSetRefreshInterval">
          <controlPr defaultSize="0" autoLine="0" r:id="rId11">
            <anchor moveWithCells="1">
              <from>
                <xdr:col>4</xdr:col>
                <xdr:colOff>175260</xdr:colOff>
                <xdr:row>10</xdr:row>
                <xdr:rowOff>30480</xdr:rowOff>
              </from>
              <to>
                <xdr:col>5</xdr:col>
                <xdr:colOff>403860</xdr:colOff>
                <xdr:row>11</xdr:row>
                <xdr:rowOff>160020</xdr:rowOff>
              </to>
            </anchor>
          </controlPr>
        </control>
      </mc:Choice>
      <mc:Fallback>
        <control shapeId="14341" r:id="rId10" name="cmdSetRefreshInterval"/>
      </mc:Fallback>
    </mc:AlternateContent>
    <mc:AlternateContent xmlns:mc="http://schemas.openxmlformats.org/markup-compatibility/2006">
      <mc:Choice Requires="x14">
        <control shapeId="14342" r:id="rId12" name="cmdSetRefreshTo0">
          <controlPr defaultSize="0" autoLine="0" r:id="rId13">
            <anchor moveWithCells="1">
              <from>
                <xdr:col>6</xdr:col>
                <xdr:colOff>60960</xdr:colOff>
                <xdr:row>6</xdr:row>
                <xdr:rowOff>30480</xdr:rowOff>
              </from>
              <to>
                <xdr:col>7</xdr:col>
                <xdr:colOff>822960</xdr:colOff>
                <xdr:row>6</xdr:row>
                <xdr:rowOff>350520</xdr:rowOff>
              </to>
            </anchor>
          </controlPr>
        </control>
      </mc:Choice>
      <mc:Fallback>
        <control shapeId="14342" r:id="rId12" name="cmdSetRefreshTo0"/>
      </mc:Fallback>
    </mc:AlternateContent>
    <mc:AlternateContent xmlns:mc="http://schemas.openxmlformats.org/markup-compatibility/2006">
      <mc:Choice Requires="x14">
        <control shapeId="14343" r:id="rId14" name="chkLockUpdateConnectionsButton">
          <controlPr defaultSize="0" autoFill="0" autoLine="0" r:id="rId15">
            <anchor moveWithCells="1">
              <from>
                <xdr:col>1</xdr:col>
                <xdr:colOff>373380</xdr:colOff>
                <xdr:row>4</xdr:row>
                <xdr:rowOff>83820</xdr:rowOff>
              </from>
              <to>
                <xdr:col>1</xdr:col>
                <xdr:colOff>1455420</xdr:colOff>
                <xdr:row>4</xdr:row>
                <xdr:rowOff>365760</xdr:rowOff>
              </to>
            </anchor>
          </controlPr>
        </control>
      </mc:Choice>
      <mc:Fallback>
        <control shapeId="14343" r:id="rId14" name="chkLockUpdateConnectionsButt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5A2B13E40C02949A1684563D67018F0" ma:contentTypeVersion="17" ma:contentTypeDescription="Create a new document." ma:contentTypeScope="" ma:versionID="1f69d560d63e50464e7734de4abb1615">
  <xsd:schema xmlns:xsd="http://www.w3.org/2001/XMLSchema" xmlns:xs="http://www.w3.org/2001/XMLSchema" xmlns:p="http://schemas.microsoft.com/office/2006/metadata/properties" xmlns:ns2="db4c3cee-92d5-403f-9810-1082d62c0530" xmlns:ns3="f8781108-523e-4ebe-a296-937b867b6c53" targetNamespace="http://schemas.microsoft.com/office/2006/metadata/properties" ma:root="true" ma:fieldsID="5c2b87ba8c77c670b7bfa57374c72fb1" ns2:_="" ns3:_="">
    <xsd:import namespace="db4c3cee-92d5-403f-9810-1082d62c0530"/>
    <xsd:import namespace="f8781108-523e-4ebe-a296-937b867b6c5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4c3cee-92d5-403f-9810-1082d62c053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LengthInSeconds" ma:index="15" nillable="true" ma:displayName="Length (seconds)"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b598b31-94b7-442a-9e03-3be0e0e850fc"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8781108-523e-4ebe-a296-937b867b6c5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fefc6119-7688-4899-b88e-67ff05513ed9}" ma:internalName="TaxCatchAll" ma:showField="CatchAllData" ma:web="f8781108-523e-4ebe-a296-937b867b6c53">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4c3cee-92d5-403f-9810-1082d62c0530">
      <Terms xmlns="http://schemas.microsoft.com/office/infopath/2007/PartnerControls"/>
    </lcf76f155ced4ddcb4097134ff3c332f>
    <TaxCatchAll xmlns="f8781108-523e-4ebe-a296-937b867b6c53" xsi:nil="true"/>
  </documentManagement>
</p:properties>
</file>

<file path=customXml/itemProps1.xml><?xml version="1.0" encoding="utf-8"?>
<ds:datastoreItem xmlns:ds="http://schemas.openxmlformats.org/officeDocument/2006/customXml" ds:itemID="{BA43EEE1-A543-4770-AF56-12C8593FDAD9}">
  <ds:schemaRefs>
    <ds:schemaRef ds:uri="http://schemas.microsoft.com/sharepoint/v3/contenttype/forms"/>
  </ds:schemaRefs>
</ds:datastoreItem>
</file>

<file path=customXml/itemProps2.xml><?xml version="1.0" encoding="utf-8"?>
<ds:datastoreItem xmlns:ds="http://schemas.openxmlformats.org/officeDocument/2006/customXml" ds:itemID="{6FDD23CA-6472-4BF5-8D40-F70FD6620A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4c3cee-92d5-403f-9810-1082d62c0530"/>
    <ds:schemaRef ds:uri="f8781108-523e-4ebe-a296-937b867b6c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890583-9173-4346-9CAD-ECD204912710}">
  <ds:schemaRefs>
    <ds:schemaRef ds:uri="http://purl.org/dc/dcmitype/"/>
    <ds:schemaRef ds:uri="http://purl.org/dc/terms/"/>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f8781108-523e-4ebe-a296-937b867b6c53"/>
    <ds:schemaRef ds:uri="db4c3cee-92d5-403f-9810-1082d62c0530"/>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Dashboard</vt:lpstr>
      <vt:lpstr>Users</vt:lpstr>
      <vt:lpstr>Active Batches</vt:lpstr>
      <vt:lpstr>Locks-In Use</vt:lpstr>
      <vt:lpstr>Locks-Orphans</vt:lpstr>
      <vt:lpstr>Open Batches</vt:lpstr>
      <vt:lpstr>Processes</vt:lpstr>
      <vt:lpstr>Resources in Use</vt:lpstr>
      <vt:lpstr>Sessions</vt:lpstr>
      <vt:lpstr>Tracking Pivot</vt:lpstr>
      <vt:lpstr>Tracking</vt:lpstr>
      <vt:lpstr>14-day Chart</vt:lpstr>
      <vt:lpstr>14-day Pivot</vt:lpstr>
      <vt:lpstr>14-day</vt:lpstr>
      <vt:lpstr>12-hr</vt:lpstr>
      <vt:lpstr>Connections</vt:lpstr>
      <vt:lpstr>DatabaseName</vt:lpstr>
      <vt:lpstr>DynamicsDBName</vt:lpstr>
      <vt:lpstr>Connections!RefreshRate</vt:lpstr>
      <vt:lpstr>ServerName</vt:lpstr>
    </vt:vector>
  </TitlesOfParts>
  <Company>WOW Logistics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Erbach</dc:creator>
  <cp:lastModifiedBy>Beat Bucher</cp:lastModifiedBy>
  <cp:lastPrinted>2021-06-28T21:25:04Z</cp:lastPrinted>
  <dcterms:created xsi:type="dcterms:W3CDTF">2017-05-04T18:02:23Z</dcterms:created>
  <dcterms:modified xsi:type="dcterms:W3CDTF">2026-06-29T18:10:07Z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0x01010055A2B13E40C02949A1684563D67018F0</vt:lpwstr>
  </property>
  <property fmtid="{D5CDD505-2E9C-101B-9397-08002B2CF9AE}" pid="3" name="MediaServiceImageTags">
    <vt:lpwstr/>
  </property>
</Properties>
</file>