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omments1.xml" ContentType="application/vnd.openxmlformats-officedocument.spreadsheetml.comments+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7.xml" ContentType="application/vnd.openxmlformats-officedocument.spreadsheetml.table+xml"/>
  <Override PartName="/xl/queryTables/queryTable7.xml" ContentType="application/vnd.openxmlformats-officedocument.spreadsheetml.query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0.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Data\Excel\"/>
    </mc:Choice>
  </mc:AlternateContent>
  <xr:revisionPtr revIDLastSave="0" documentId="10_ncr:100000_{5413596E-73D3-4B04-BADC-50AF9F0B29E1}" xr6:coauthVersionLast="31" xr6:coauthVersionMax="31" xr10:uidLastSave="{00000000-0000-0000-0000-000000000000}"/>
  <bookViews>
    <workbookView xWindow="0" yWindow="0" windowWidth="16905" windowHeight="1560" tabRatio="728" firstSheet="5" activeTab="10" xr2:uid="{00000000-000D-0000-FFFF-FFFF00000000}"/>
  </bookViews>
  <sheets>
    <sheet name="Dashboard" sheetId="1" r:id="rId1"/>
    <sheet name="Users" sheetId="2" r:id="rId2"/>
    <sheet name="Active Batches" sheetId="4" r:id="rId3"/>
    <sheet name="Locks-In Use" sheetId="9" r:id="rId4"/>
    <sheet name="Locks-Orphans" sheetId="10" r:id="rId5"/>
    <sheet name="Open Batches" sheetId="6" r:id="rId6"/>
    <sheet name="Processes" sheetId="8" r:id="rId7"/>
    <sheet name="Resources in Use" sheetId="7" r:id="rId8"/>
    <sheet name="Sessions" sheetId="5" r:id="rId9"/>
    <sheet name="Tracking" sheetId="12" r:id="rId10"/>
    <sheet name="Connections" sheetId="11" r:id="rId11"/>
  </sheets>
  <functionGroups builtInGroupCount="19"/>
  <definedNames>
    <definedName name="DatabaseName">Connections!$E$1</definedName>
    <definedName name="DynamicsDBName">Connections!$H$1</definedName>
    <definedName name="Query_from_Dynamics_GP_2016" localSheetId="9" hidden="1">Tracking!$A$3:$F$4</definedName>
    <definedName name="Query_from_DYNAMICS_GP2016" localSheetId="2" hidden="1">'Active Batches'!$A$3:$M$4</definedName>
    <definedName name="Query_from_DYNAMICS_GP2016" localSheetId="0" hidden="1">Dashboard!$D$3:$I$4</definedName>
    <definedName name="Query_from_DYNAMICS_GP2016" localSheetId="3" hidden="1">'Locks-In Use'!$A$3:$D$4</definedName>
    <definedName name="Query_from_DYNAMICS_GP2016" localSheetId="5" hidden="1">'Open Batches'!$A$3:$J$4</definedName>
    <definedName name="Query_from_DYNAMICS_GP2016" localSheetId="6" hidden="1">Processes!$A$3:$G$4</definedName>
    <definedName name="Query_from_DYNAMICS_GP2016" localSheetId="7" hidden="1">'Resources in Use'!$A$3:$J$4</definedName>
    <definedName name="Query_from_DYNAMICS_GP2016" localSheetId="8" hidden="1">Sessions!$A$3:$H$4</definedName>
    <definedName name="Query_from_DYNAMICS_GP2016" localSheetId="1" hidden="1">Users!$A$3:$Q$4</definedName>
    <definedName name="Query_from_DYNAMICS_GP2016_1" localSheetId="0" hidden="1">Dashboard!$A$5:$B$11</definedName>
    <definedName name="Query_from_DYNAMICS_GP2016_2" localSheetId="0" hidden="1">Dashboard!$K$3:$L$4</definedName>
    <definedName name="Query_from_DYNAMICS_GP2016_2" localSheetId="4" hidden="1">'Locks-Orphans'!$A$3:$D$4</definedName>
    <definedName name="ServerName">Connections!$B$1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 l="1"/>
  <c r="A1" i="1" l="1"/>
  <c r="D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Erbach</author>
  </authors>
  <commentList>
    <comment ref="A1" authorId="0" shapeId="0" xr:uid="{00000000-0006-0000-0000-000001000000}">
      <text>
        <r>
          <rPr>
            <b/>
            <sz val="9"/>
            <color indexed="81"/>
            <rFont val="Tahoma"/>
            <family val="2"/>
          </rPr>
          <t>Azure: all stats good.
Yellow *: Resources, batches, &amp; sessions active or in use.
Orange !: Orphaned sessions/locks should be cleared.</t>
        </r>
      </text>
    </comment>
    <comment ref="B1" authorId="0" shapeId="0" xr:uid="{00000000-0006-0000-0000-000002000000}">
      <text>
        <r>
          <rPr>
            <b/>
            <sz val="9"/>
            <color indexed="81"/>
            <rFont val="Tahoma"/>
            <family val="2"/>
          </rPr>
          <t>Azure: all users OK.
Red !: Widowed GP connections still using up license counts
Orange ?: GP users with un-matched SQL processes; will be cleared w/GP logout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ctive Batches" type="1" refreshedVersion="6" background="1">
    <dbPr connection="DRIVER=SQL Server;SERVER=GLCAPP1;DATABASE=GLC;Trusted_Connection=Yes;" command="{call [---]..uspFillTempSY00500Table (?,1)}"/>
    <parameters count="1">
      <parameter name="Parameter1" parameterType="cell" cell="Connections!$H$1"/>
    </parameters>
  </connection>
  <connection id="2" xr16:uid="{00000000-0015-0000-FFFF-FFFF01000000}" name="Dashboard (Processes)" type="1" refreshedVersion="6" background="1">
    <dbPr connection="DRIVER=SQL Server;SERVER=GLCAPP1;DATABASE=GLC;Trusted_Connection=Yes;" command="SELECT TOP (100) PERCENT_x000d__x000a__x0009_CASE ISNULL(RTRIM(um.USERNAME), '') _x000d__x000a__x0009__x0009_WHEN '' THEN RTRIM(msp.loginame) _x000d__x000a__x0009__x0009_ELSE RTRIM(um.USERNAME) _x000d__x000a__x0009_END AS [User Name]_x000d__x000a__x0009_, COUNT(msp.spid) AS Processes_x000d__x000a_FROM [master].sys.sysprocesses AS msp_x000d__x000a_LEFT OUTER JOIN [---]..SY01400 AS um_x000d__x000a__x0009_ON msp.loginame = um.USERID_x000d__x000a_GROUP BY RTRIM(msp.loginame), RTRIM(um.USERNAME)_x000d__x000a_ORDER BY [User Name];"/>
  </connection>
  <connection id="3" xr16:uid="{00000000-0015-0000-FFFF-FFFF02000000}" name="Dashboard (Quick Stats)" type="1" refreshedVersion="6" background="1">
    <dbPr connection="DRIVER=SQL Server;SERVER=GLCAPP1;DATABASE=GLC;Trusted_Connection=Yes;" command="{call [---]..uspFillTempActiveBatchesTable(?)}"/>
    <parameters count="1">
      <parameter name="Parameter1" parameterType="cell" cell="Connections!$H$1"/>
    </parameters>
  </connection>
  <connection id="4" xr16:uid="{00000000-0015-0000-FFFF-FFFF03000000}" name="Dashboard (Users)" type="1" refreshedVersion="6" background="1">
    <dbPr connection="DRIVER=SQL Server;SERVER=GLCAPP1;DATABASE=GLC;Trusted_Connection=Yes;" command="SELECT RTRIM(um.USERNAME) AS [User Name]_x000d__x000a__x0009_, CASE um.UserType_x000d__x000a__x0009__x0009_WHEN 1_x000d__x000a__x0009__x0009__x0009_THEN 'Full'_x000d__x000a__x0009__x0009_ELSE 'Limited'_x000d__x000a__x0009_END AS [Type]_x000d__x000a__x0009_, CASE ISNULL(om.USERID, '---')_x000d__x000a__x0009__x0009_WHEN '---'_x000d__x000a__x0009__x0009__x0009_THEN 'OK'_x000d__x000a__x0009__x0009_ELSE 'No SQL session'_x000d__x000a__x0009_END AS [Status]_x000d__x000a__x0009_, ISNULL(RTRIM(P.[Status]), 'No match') AS [Proc status]_x000d__x000a__x0009_, RTRIM(da.CMPNYNAM) AS Company_x000d__x000a__x0009_, FORMAT(da.LOGINDAT, 'yyyy-MM-dd', 'en-us') + ' ' + FORMAT(da.LOGINTIM, 'HH:mm', 'en-us') AS [Logged in at]_x000d__x000a_FROM [---]..ACTIVITY AS da_x000d__x000a_LEFT OUTER JOIN (_x000d__x000a__x0009_SELECT USERID_x000d__x000a__x0009_FROM [---]..ACTIVITY_x000d__x000a__x0009_WHERE USERID NOT IN (_x000d__x000a__x0009__x0009_SELECT DISTINCT loginame_x000d__x000a__x0009__x0009_FROM [master].sys.sysprocesses_x000d__x000a__x0009_)_x000d__x000a_) AS om _x000d__x000a__x0009_ON da.USERID = om.USERID_x000d__x000a_LEFT OUTER JOIN [---]..SY01400 AS um _x000d__x000a__x0009_ON da.USERID = um.USERID_x000d__x000a_LEFT OUTER JOIN tempdb..DEX_SESSION AS S _x000d__x000a__x0009_ON da.SQLSESID = S.session_id_x000d__x000a_LEFT OUTER JOIN [master].sys.sysprocesses AS P _x000d__x000a__x0009_ON S.sqlsvr_spid = P.spid_x000d__x000a__x0009_AND da.USERID = P.loginame_x000d__x000a_ORDER BY [Logged in at] DESC;"/>
  </connection>
  <connection id="5" xr16:uid="{00000000-0015-0000-FFFF-FFFF04000000}" name="Locks-In Use" type="1" refreshedVersion="6" background="1">
    <dbPr connection="DRIVER=SQL Server;SERVER=GLCAPP1;DATABASE=GLC;Trusted_Connection=Yes;" command="{call [---]..uspLocksInUse (?,1)}"/>
    <parameters count="1">
      <parameter name="Parameter1" parameterType="cell" cell="Connections!$H$1"/>
    </parameters>
  </connection>
  <connection id="6" xr16:uid="{00000000-0015-0000-FFFF-FFFF05000000}" name="Locks-Orphans" type="1" refreshedVersion="6" background="1">
    <dbPr connection="DRIVER=SQL Server;SERVER=GLCAPP1;DATABASE=GLC;Trusted_Connection=Yes;" command="SELECT 'tempdb..DEX_LOCK' AS TableName_x000d__x000a__x0009_, L.*_x000d__x000a_FROM tempdb..DEX_LOCK AS L_x000d__x000a__x0009_WHERE NOT EXISTS (_x000d__x000a__x0009__x0009_SELECT A.*_x000d__x000a__x0009__x0009_FROM [---]..ACTIVITY AS A _x000d__x000a__x0009__x0009_WHERE L.session_id = A.SQLSESID_x000d__x000a__x0009_);"/>
  </connection>
  <connection id="7" xr16:uid="{00000000-0015-0000-FFFF-FFFF06000000}" name="Open Batches" type="1" refreshedVersion="6" background="1">
    <dbPr connection="DRIVER=SQL Server;SERVER=GLCAPP1;DATABASE=GLC;Trusted_Connection=Yes;" command="SELECT_x000d__x000a__x0009_CASE ISNULL(_x000d__x000a__x0009__x0009_(_x000d__x000a__x0009__x0009__x0009_SELECT A.USERID _x000d__x000a__x0009__x0009__x0009_FROM [---]..ACTIVITY AS A _x000d__x000a__x0009__x0009__x0009_WHERE B.USERID = A.USERID _x000d__x000a__x0009__x0009__x0009__x0009_AND B.CMPNYNAM = A.CMPNYNAM_x000d__x000a__x0009__x0009_), 'X')_x000d__x000a__x0009__x0009_WHEN 'X' THEN 'No match'_x000d__x000a__x0009__x0009_ELSE 'OK'_x000d__x000a__x0009_END AS LinkToActivity_x000d__x000a__x0009_, CASE B.WINTYPE_x000d__x000a__x0009__x0009_WHEN 1 THEN 'Batch lock on Open Trx'_x000d__x000a__x0009__x0009_WHEN 2 THEN 'Batch lock on Open batch'_x000d__x000a__x0009__x0009_WHEN 3 THEN 'Invoice Entry'_x000d__x000a__x0009__x0009_WHEN 4 THEN 'SOP Sales Trx Entry'_x000d__x000a__x0009__x0009_WHEN 5 THEN 'IV-Transfer'_x000d__x000a__x0009__x0009_WHEN 13 THEN 'IV In transit xfer'_x000d__x000a__x0009__x0009_WHEN 100 THEN 'Trx lock on Open Trx'_x000d__x000a__x0009__x0009_WHEN -32767 THEN 'GL Entry'_x000d__x000a__x0009__x0009_ELSE 'Who knows?'_x000d__x000a__x0009_END AS [Description]_x000d__x000a__x0009_, B.*_x000d__x000a_FROM [---]..SY00800 AS B;"/>
  </connection>
  <connection id="8" xr16:uid="{00000000-0015-0000-FFFF-FFFF07000000}" name="Processes" type="1" refreshedVersion="6" background="1">
    <dbPr connection="DRIVER=SQL Server;SERVER=GLCAPP1;DATABASE=GLC;Trusted_Connection=Yes;" command="SELECT '[master].sys.sysprocesses' AS TableName_x000d__x000a__x0009_, FORMAT(login_time,'yyyy-MM-dd','en-us')+' '+FORMAT(login_time,'HH:mm','en-us') AS [Login]_x000d__x000a__x0009_, FORMAT(last_batch,'yyyy-MM-dd','en-us')+' '+FORMAT(last_batch,'HH:mm','en-us') AS LastBatch_x000d__x000a__x0009_, RTRIM(status) AS [Status]_x000d__x000a__x0009_, RTRIM(cmd) AS Cmd_x000d__x000a__x0009_, RTRIM(loginame) AS loginName_x000d__x000a__x0009_, spid_x000d__x000a_FROM [master].sys.sysprocesses_x000d__x000a_ORDER BY loginName;"/>
  </connection>
  <connection id="9" xr16:uid="{00000000-0015-0000-FFFF-FFFF08000000}" name="Resources in Use" type="1" refreshedVersion="6" background="1">
    <dbPr connection="DRIVER=SQL Server;SERVER=GLCAPP1;DATABASE=GLC;Trusted_Connection=Yes;" command="SELECT_x000d__x000a__x0009_CASE ISNULL(_x000d__x000a__x0009__x0009_(_x000d__x000a__x0009__x0009__x0009_SELECT A.USERID _x000d__x000a__x0009__x0009__x0009_FROM [---]..ACTIVITY AS A _x000d__x000a__x0009__x0009__x0009_INNER JOIN [---]..SY01500 AS C _x000d__x000a__x0009__x0009__x0009__x0009_ON C.CMPNYNAM = A.CMPNYNAM _x000d__x000a__x0009__x0009__x0009_WHERE R.USERID = A.USERID _x000d__x000a__x0009__x0009__x0009__x0009_AND R.CMPANYID = C.CMPANYID_x000d__x000a__x0009__x0009_), 'X')_x000d__x000a__x0009__x0009_WHEN 'X' THEN 'No match'_x000d__x000a__x0009__x0009_ELSE 'OK'_x000d__x000a__x0009_END LinkToActivity_x000d__x000a__x0009_, R.*_x000d__x000a_FROM [---]..SY00801 AS R;"/>
  </connection>
  <connection id="10" xr16:uid="{00000000-0015-0000-FFFF-FFFF09000000}" name="Sessions" type="1" refreshedVersion="6" background="1">
    <dbPr connection="DRIVER=SQL Server;SERVER=GLCAPP1;DATABASE=GLC;Trusted_Connection=Yes;" command="SELECT ds.TableName_x000d__x000a__x0009_, ds.session_id_x000d__x000a__x0009_, ds.sqlsvr_spid_x000d__x000a__x0009_, ds.LinkToActivity_x000d__x000a__x0009_, ds.USERID_x000d__x000a__x0009_, ds.CMPNYNAM_x000d__x000a__x0009_, CASE_x000d__x000a__x0009__x0009_WHEN ds.[SQL status] = 'No match' AND ds.Spid_count &gt; 0 THEN 'Unlinked'_x000d__x000a__x0009__x0009_ELSE ds.[SQL status]_x000d__x000a__x0009_END AS [SQL status]_x000d__x000a__x0009_, ds.Spid_count_x000d__x000a_FROM (_x000d__x000a__x0009_SELECT 'tempdb..DEX_SESSION' AS TableName_x000d__x000a__x0009__x0009_ , ISNULL(ses.session_id, 0) AS session_id_x000d__x000a__x0009__x0009_ , ISNULL(ses.sqlsvr_spid, 0) AS sqlsvr_spid_x000d__x000a__x0009__x0009_ , CASE_x000d__x000a__x0009__x0009__x0009_WHEN ISNULL(ses.session_id, 0) = 0 THEN 'No DEX_SESSION'_x000d__x000a__x0009__x0009__x0009_WHEN ISNULL(act.USERID, '---') = '---' THEN 'No ACTIVITY'_x000d__x000a__x0009__x0009__x0009_ELSE 'OK'_x000d__x000a__x0009__x0009_ END AS LinkToActivity_x000d__x000a__x0009__x0009_, ISNULL(act.USERID, '---') AS USERID_x000d__x000a__x0009__x0009_, ISNULL(act.CMPNYNAM, '---') AS CMPNYNAM_x000d__x000a__x0009__x0009_, ISNULL(RTRIM(P.[status]), 'No match') AS [SQL status]_x000d__x000a__x0009__x0009_, (_x000d__x000a__x0009__x0009__x0009_SELECT COUNT(*)_x000d__x000a__x0009__x0009__x0009_FROM [master].sys.sysprocesses_x000d__x000a__x0009__x0009__x0009_WHERE (loginame = act.USERID)_x000d__x000a__x0009__x0009_) AS Spid_count_x000d__x000a__x0009_FROM [---]..ACTIVITY AS act_x000d__x000a__x0009_FULL OUTER JOIN tempdb..DEX_SESSION AS ses_x000d__x000a__x0009__x0009_ON ses.session_id = act.SQLSESID_x000d__x000a__x0009_LEFT OUTER JOIN [master].sys.sysprocesses AS P_x000d__x000a__x0009__x0009_ON ses.sqlsvr_spid = P.spid_x000d__x000a__x0009__x0009_AND act.USERID = P.loginame_x000d__x000a_) AS ds;"/>
  </connection>
  <connection id="11" xr16:uid="{00000000-0015-0000-FFFF-FFFF0A000000}" name="Tracking" type="1" refreshedVersion="6" background="1" saveData="1">
    <dbPr connection="DRIVER=SQL Server;SERVER=GLCAPP1;DATABASE=GLC;Trusted_Connection=Yes;" command="{call [---]..usp24hrActivityTracking (?)}"/>
    <parameters count="1">
      <parameter name="Parameter1" parameterType="cell" cell="Connections!$H$1"/>
    </parameters>
  </connection>
  <connection id="12" xr16:uid="{00000000-0015-0000-FFFF-FFFF0B000000}" name="Users" type="1" refreshedVersion="6" background="1">
    <dbPr connection="DRIVER=SQL Server;SERVER=GLCAPP1;DATABASE=GLC;Trusted_Connection=Yes;" command="SELECT RTRIM(um.USERNAME) AS [User Name]_x000d__x000a__x0009_, CASE um.UserType_x000d__x000a__x0009__x0009_WHEN 1 THEN 'Full'_x000d__x000a__x0009__x0009_WHEN 2 THEN 'Limited'_x000d__x000a__x0009__x0009_WHEN 4 THEN 'Self-serve'_x000d__x000a__x0009__x0009_ELSE '---'_x000d__x000a__x0009_END AS [Type]_x000d__x000a__x0009_, RTRIM(da.CMPNYNAM) AS Company_x000d__x000a__x0009_, FORMAT(da.LOGINDAT, 'yyyy-MM-dd', 'en-us') + ' ' + FORMAT(da.LOGINTIM, 'HH:mm', 'en-us') AS [Logged in at]_x000d__x000a__x0009_, dbo.udfDatediffToWords(da.LOGINDAT + da.LOGINTIM, GETDATE()) AS [For how long?]_x000d__x000a__x0009_--, CONVERT(varchar, ABS(DATEDIFF(minute, da.LOGINDAT + da.LOGINTIM, GETDATE()))) + ' minutes' AS [For how long?]_x000d__x000a__x0009_, da.SQLSESID AS [Session]_x000d__x000a__x0009_, S.sqlsvr_spid AS GP_spid_x000d__x000a__x0009_, (_x000d__x000a__x0009__x0009_SELECT COUNT(*)_x000d__x000a__x0009__x0009_FROM [master].sys.sysprocesses AS ms_x000d__x000a__x0009__x0009_WHERE (loginame = da.USERID)_x000d__x000a__x0009_) AS Spid_count_x000d__x000a__x0009_, CASE ISNULL(om.USERID, '---')_x000d__x000a__x0009__x0009_WHEN '---'_x000d__x000a__x0009__x0009__x0009_THEN 'OK'_x000d__x000a__x0009__x0009_ELSE 'No SQL session'_x000d__x000a__x0009_END AS [Status]_x000d__x000a__x0009_, ISNULL(RTRIM(P.[status]), 'No match') AS [Proc status]_x000d__x000a__x0009_, ISNULL(_x000d__x000a__x0009__x0009_(_x000d__x000a__x0009__x0009__x0009_SELECT FORMAT(MIN(last_batch), 'h:mm tt', 'en-us') AS LastBatch_x000d__x000a__x0009__x0009__x0009_FROM (_x000d__x000a__x0009__x0009__x0009__x0009_SELECT TOP (1) last_batch_x000d__x000a__x0009__x0009__x0009__x0009_FROM [master].sys.sysprocesses_x000d__x000a__x0009__x0009__x0009__x0009_WHERE (loginame = da.USERID)_x000d__x000a__x0009__x0009__x0009__x0009_ORDER BY last_batch DESC_x000d__x000a__x0009__x0009__x0009_) AS m_x000d__x000a__x0009__x0009_), 'xxx'_x000d__x000a__x0009_) AS [Last]_x000d__x000a__x0009_, ISNULL(DATEDIFF(mi, _x000d__x000a__x0009__x0009__x0009_(_x000d__x000a__x0009__x0009__x0009__x0009_SELECT MIN(m_3.last_batch) AS LastBatch_x000d__x000a__x0009__x0009__x0009__x0009_FROM (_x000d__x000a__x0009__x0009__x0009__x0009__x0009_SELECT TOP (1) last_batch_x000d__x000a__x0009__x0009__x0009__x0009__x0009_FROM [master].sys.sysprocesses_x000d__x000a__x0009__x0009__x0009__x0009__x0009_WHERE (loginame = da.USERID)_x000d__x000a__x0009__x0009__x0009__x0009__x0009_ORDER BY last_batch DESC_x000d__x000a__x0009__x0009__x0009__x0009_) AS m_3_x000d__x000a__x0009__x0009__x0009_), GETDATE()_x000d__x000a__x0009__x0009_), - 999_x000d__x000a__x0009_) AS [Mins.]_x000d__x000a__x0009_, ISNULL(_x000d__x000a__x0009__x0009_(_x000d__x000a__x0009__x0009__x0009_SELECT FORMAT(MIN(m_2.last_batch), 'h:mm tt', 'en-us') AS LastBatch_x000d__x000a__x0009__x0009__x0009_FROM (_x000d__x000a__x0009__x0009__x0009__x0009_SELECT TOP (2) last_batch_x000d__x000a__x0009__x0009__x0009__x0009_FROM [master].sys.sysprocesses_x000d__x000a__x0009__x0009__x0009__x0009_WHERE (loginame = da.USERID)_x000d__x000a__x0009__x0009__x0009__x0009_ORDER BY last_batch DESC_x000d__x000a__x0009__x0009__x0009_) AS m_2_x000d__x000a__x0009__x0009_), 'xxx'_x000d__x000a__x0009_) AS [2nd Last]_x000d__x000a__x0009_, ISNULL(DATEDIFF(mi, _x000d__x000a__x0009__x0009_(_x000d__x000a__x0009__x0009__x0009_SELECT MIN(m_1.last_batch) AS LastBatch_x000d__x000a__x0009__x0009__x0009_FROM (_x000d__x000a__x0009__x0009__x0009__x0009_SELECT TOP (2) last_batch_x000d__x000a__x0009__x0009__x0009__x0009_FROM [master].sys.sysprocesses_x000d__x000a__x0009__x0009__x0009__x0009_WHERE (loginame = da.USERID)_x000d__x000a__x0009__x0009__x0009__x0009_ORDER BY last_batch DESC_x000d__x000a__x0009__x0009__x0009_) AS m_1_x000d__x000a__x0009__x0009_), GETDATE()), - 999_x000d__x000a__x0009_) AS [Mins. 2nd]_x000d__x000a__x0009_, ISNULL(b.batch_count, 0) AS B_x000d__x000a__x0009_, ISNULL(r.resource_count, 0) AS R_x000d__x000a__x0009_, ISNULL(t.table_locks, 0) AS T_x000d__x000a_FROM [---]..ACTIVITY AS da_x000d__x000a_LEFT OUTER JOIN (_x000d__x000a__x0009_SELECT USERID_x000d__x000a__x0009_FROM [---]..ACTIVITY_x000d__x000a__x0009_WHERE USERID NOT IN (_x000d__x000a__x0009__x0009_SELECT DISTINCT loginame_x000d__x000a__x0009__x0009_FROM [master].sys.sysprocesses_x000d__x000a__x0009_)_x000d__x000a_) AS om_x000d__x000a__x0009_ON da.USERID = om.USERID_x000d__x000a_LEFT OUTER JOIN [---]..SY01400 AS um_x000d__x000a__x0009_ON da.USERID = um.USERID_x000d__x000a_LEFT OUTER JOIN tempdb.dbo.DEX_SESSION AS S_x000d__x000a__x0009_ON da.SQLSESID = S.session_id_x000d__x000a_LEFT OUTER JOIN [master].sys.sysprocesses AS P_x000d__x000a__x0009_ON S.sqlsvr_spid = P.spid_x000d__x000a__x0009_AND da.USERID = P.loginame_x000d__x000a_LEFT OUTER JOIN (_x000d__x000a__x0009_SELECT USERID_x000d__x000a__x0009__x0009_, COUNT(*) AS batch_count_x000d__x000a__x0009_FROM [---]..SY00800_x000d__x000a__x0009_GROUP BY USERID_x000d__x000a_) AS b_x000d__x000a__x0009_ON da.USERID = b.USERID_x000d__x000a_LEFT OUTER JOIN (_x000d__x000a__x0009_SELECT USERID_x000d__x000a__x0009__x0009_, COUNT(*) AS resource_count_x000d__x000a__x0009_FROM [---]..SY00801_x000d__x000a__x0009_GROUP BY USERID_x000d__x000a_) AS r_x000d__x000a__x0009_ON da.USERID = r.USERID_x000d__x000a_LEFT OUTER JOIN (_x000d__x000a__x0009_SELECT session_id_x000d__x000a__x0009__x0009_, COUNT(*) AS table_locks_x000d__x000a__x0009_FROM tempdb.dbo.DEX_LOCK_x000d__x000a__x0009_GROUP BY session_id_x000d__x000a_) AS t_x000d__x000a__x0009_ON da.SQLSESID = t.session_id_x000d__x000a_ORDER BY [Mins.]_x000d__x000a__x0009_, [Mins. 2nd]_x000d__x000a__x0009_, [User Name];"/>
  </connection>
</connections>
</file>

<file path=xl/sharedStrings.xml><?xml version="1.0" encoding="utf-8"?>
<sst xmlns="http://schemas.openxmlformats.org/spreadsheetml/2006/main" count="143" uniqueCount="113">
  <si>
    <t>In the table below, B=Batches, R=Resources, T=Tables</t>
  </si>
  <si>
    <t>Batches that are being processed in some way -OR- that have errors</t>
  </si>
  <si>
    <t>Records still locked that should be closed</t>
  </si>
  <si>
    <t>SQL Server Sysprocesses</t>
  </si>
  <si>
    <t>Quick Stats</t>
  </si>
  <si>
    <t>Sysprocesses Summary</t>
  </si>
  <si>
    <t>Who has which item locked?</t>
  </si>
  <si>
    <t>Batches opened recently; if "No match" then rows should be removed</t>
  </si>
  <si>
    <t>Resources open; if "No match" then items should be removed</t>
  </si>
  <si>
    <t>Stats</t>
  </si>
  <si>
    <t>Red &amp; yellow</t>
  </si>
  <si>
    <t>Number to the right of the dec. point</t>
  </si>
  <si>
    <t>is the number of problem items.</t>
  </si>
  <si>
    <t>User Name</t>
  </si>
  <si>
    <t>Type</t>
  </si>
  <si>
    <t>Company</t>
  </si>
  <si>
    <t>Logged in at</t>
  </si>
  <si>
    <t>For how long?</t>
  </si>
  <si>
    <t>Session</t>
  </si>
  <si>
    <t>GP_spid</t>
  </si>
  <si>
    <t>Spid_count</t>
  </si>
  <si>
    <t>Status</t>
  </si>
  <si>
    <t>Proc status</t>
  </si>
  <si>
    <t>Last</t>
  </si>
  <si>
    <t>Mins.</t>
  </si>
  <si>
    <t>2nd Last</t>
  </si>
  <si>
    <t>Mins. 2nd</t>
  </si>
  <si>
    <t>B</t>
  </si>
  <si>
    <t>R</t>
  </si>
  <si>
    <t>T</t>
  </si>
  <si>
    <t>LinkToActivity</t>
  </si>
  <si>
    <t>Description</t>
  </si>
  <si>
    <t>WINTYPE</t>
  </si>
  <si>
    <t>USERID</t>
  </si>
  <si>
    <t>CMPNYNAM</t>
  </si>
  <si>
    <t>BCHSOURC</t>
  </si>
  <si>
    <t>BACHNUMB</t>
  </si>
  <si>
    <t>POSTING</t>
  </si>
  <si>
    <t>TRXSOURC</t>
  </si>
  <si>
    <t>DEX_ROW_ID</t>
  </si>
  <si>
    <t>Processes</t>
  </si>
  <si>
    <t>Stat</t>
  </si>
  <si>
    <t>Count</t>
  </si>
  <si>
    <t>Active Batches</t>
  </si>
  <si>
    <t>Open Batches</t>
  </si>
  <si>
    <t>Resources in Use</t>
  </si>
  <si>
    <t>Sessions/Orphans</t>
  </si>
  <si>
    <t>TableName</t>
  </si>
  <si>
    <t>BatchSource</t>
  </si>
  <si>
    <t>Batch#</t>
  </si>
  <si>
    <t>SERIES</t>
  </si>
  <si>
    <t>MKDTOPST</t>
  </si>
  <si>
    <t>NUMOFTRX</t>
  </si>
  <si>
    <t>BACHFREQ</t>
  </si>
  <si>
    <t>BCHCOMNT</t>
  </si>
  <si>
    <t>BCHTOTAL</t>
  </si>
  <si>
    <t>CREATDDT</t>
  </si>
  <si>
    <t>BCHSTTUS</t>
  </si>
  <si>
    <t>BatchStatusDescription</t>
  </si>
  <si>
    <t>UserID</t>
  </si>
  <si>
    <t>DocNo Locked</t>
  </si>
  <si>
    <t>LoginDate</t>
  </si>
  <si>
    <t>table_path_name</t>
  </si>
  <si>
    <t>session_id</t>
  </si>
  <si>
    <t>row_id</t>
  </si>
  <si>
    <t>LastBatch</t>
  </si>
  <si>
    <t>Cmd</t>
  </si>
  <si>
    <t>loginName</t>
  </si>
  <si>
    <t>spid</t>
  </si>
  <si>
    <t>RULEID</t>
  </si>
  <si>
    <t>RSRCID</t>
  </si>
  <si>
    <t>RSRCSBID</t>
  </si>
  <si>
    <t>CMPANYID</t>
  </si>
  <si>
    <t>RSCSTATE</t>
  </si>
  <si>
    <t>RSRDESC</t>
  </si>
  <si>
    <t>USECT</t>
  </si>
  <si>
    <t>sqlsvr_spid</t>
  </si>
  <si>
    <t>SQL status</t>
  </si>
  <si>
    <t>DEX Sessions; if "No ACTIVITY" then should be removed</t>
  </si>
  <si>
    <t>Login</t>
  </si>
  <si>
    <t>Disconnects</t>
  </si>
  <si>
    <t>(usually DYNAMICS)</t>
  </si>
  <si>
    <t>Locks in Use/Orphans</t>
  </si>
  <si>
    <t>TRXSORCE</t>
  </si>
  <si>
    <t>INQYTYPE</t>
  </si>
  <si>
    <t>DATE1</t>
  </si>
  <si>
    <t>TIME1</t>
  </si>
  <si>
    <t>Activity Tracking</t>
  </si>
  <si>
    <r>
      <t>(1) Note: The red "</t>
    </r>
    <r>
      <rPr>
        <b/>
        <sz val="11"/>
        <color rgb="FFFF0000"/>
        <rFont val="Calibri"/>
        <family val="2"/>
        <scheme val="minor"/>
      </rPr>
      <t>No SQL session</t>
    </r>
    <r>
      <rPr>
        <sz val="11"/>
        <color theme="1"/>
        <rFont val="Calibri"/>
        <family val="2"/>
        <scheme val="minor"/>
      </rPr>
      <t>" flag in the Status column of the User list still looks like an active, licensed session to GP, and it counts towards the company's GP license limit. The orphaned user him/herself can free up that license by logging into GP again and deleting that session and then logging out...OR you can simply click the "Remove SQL Orphans" button to clear it.</t>
    </r>
  </si>
  <si>
    <r>
      <rPr>
        <b/>
        <sz val="11"/>
        <color theme="5"/>
        <rFont val="Calibri"/>
        <family val="2"/>
        <scheme val="minor"/>
      </rPr>
      <t>Unlinked</t>
    </r>
    <r>
      <rPr>
        <sz val="11"/>
        <color theme="1"/>
        <rFont val="Calibri"/>
        <family val="2"/>
        <scheme val="minor"/>
      </rPr>
      <t xml:space="preserve"> sessions won't be cleared with the "Remove Orphan Sessions" button. "Unlinked" sessions are still valid; they simply no longer have a direct link between the DEX_SESSION and sysprocesses tables.</t>
    </r>
  </si>
  <si>
    <r>
      <t xml:space="preserve">GP Dashboard </t>
    </r>
    <r>
      <rPr>
        <b/>
        <vertAlign val="superscript"/>
        <sz val="14"/>
        <color theme="1"/>
        <rFont val="Cambria"/>
        <family val="1"/>
      </rPr>
      <t>(1) (2)</t>
    </r>
  </si>
  <si>
    <r>
      <t>(2) Note: The orange "</t>
    </r>
    <r>
      <rPr>
        <b/>
        <sz val="11"/>
        <color rgb="FFFF8000"/>
        <rFont val="Calibri"/>
        <family val="2"/>
        <scheme val="minor"/>
      </rPr>
      <t>No match</t>
    </r>
    <r>
      <rPr>
        <sz val="11"/>
        <color theme="1"/>
        <rFont val="Calibri"/>
        <family val="2"/>
        <scheme val="minor"/>
      </rPr>
      <t>" flag only means that there is no sysprocesses record that matches the DEX_SESSION record for that user. Not an issue. The "No match" will clear up when the user Exits GP. The "Remove SQL Orphans" button does not clear it.</t>
    </r>
  </si>
  <si>
    <t xml:space="preserve">System DB: </t>
  </si>
  <si>
    <t xml:space="preserve">Server: </t>
  </si>
  <si>
    <t>YourServer</t>
  </si>
  <si>
    <t>YourSystemDB</t>
  </si>
  <si>
    <t></t>
  </si>
  <si>
    <t></t>
  </si>
  <si>
    <t></t>
  </si>
  <si>
    <t></t>
  </si>
  <si>
    <t></t>
  </si>
  <si>
    <t></t>
  </si>
  <si>
    <t>If you've followed all the steps, the Dashboard will refresh every 2 minutes.</t>
  </si>
  <si>
    <r>
      <rPr>
        <sz val="18"/>
        <color rgb="FF0070C0"/>
        <rFont val="Wingdings"/>
        <charset val="2"/>
      </rPr>
      <t></t>
    </r>
    <r>
      <rPr>
        <sz val="18"/>
        <color rgb="FF0070C0"/>
        <rFont val="Calibri"/>
        <family val="2"/>
      </rPr>
      <t xml:space="preserve">   </t>
    </r>
  </si>
  <si>
    <t>&lt;&lt;--- Start Here!</t>
  </si>
  <si>
    <t></t>
  </si>
  <si>
    <t>Finished!</t>
  </si>
  <si>
    <r>
      <t xml:space="preserve">Enter your System DB name here </t>
    </r>
    <r>
      <rPr>
        <i/>
        <sz val="11"/>
        <color theme="1"/>
        <rFont val="Calibri"/>
        <family val="2"/>
        <scheme val="minor"/>
      </rPr>
      <t>(usually DYNAMICS)</t>
    </r>
    <r>
      <rPr>
        <sz val="11"/>
        <color theme="1"/>
        <rFont val="Calibri"/>
        <family val="2"/>
        <scheme val="minor"/>
      </rPr>
      <t>.</t>
    </r>
  </si>
  <si>
    <r>
      <rPr>
        <b/>
        <i/>
        <sz val="11"/>
        <color theme="1"/>
        <rFont val="Calibri"/>
        <family val="2"/>
        <scheme val="minor"/>
      </rPr>
      <t>UN</t>
    </r>
    <r>
      <rPr>
        <sz val="11"/>
        <color theme="1"/>
        <rFont val="Calibri"/>
        <family val="2"/>
        <scheme val="minor"/>
      </rPr>
      <t>-check the "Lock Update" checkbox.</t>
    </r>
  </si>
  <si>
    <t>Click the "Set Refresh to 2 mins." button to activate auto-refresh every two minutes.</t>
  </si>
  <si>
    <t>Enter the name of your SQL Server.</t>
  </si>
  <si>
    <t>Click the "Update Connections" button; this inserts your Server
name in the Connection properties.</t>
  </si>
  <si>
    <t>Click the "Swap Command Text". This places YOUR System database name in all of the
Command Text properties fields. Make sure to click only once!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</si>
</sst>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0.0"/>
    <numFmt numFmtId="165" formatCode="[$-409]h:mm\ AM/PM;@"/>
  </numFmts>
  <fonts count="22">
    <font>
      <sz val="11"/>
      <color theme="1"/>
      <name val="Calibri"/>
      <family val="2"/>
      <scheme val="minor"/>
    </font>
    <font>
      <b/>
      <sz val="14"/>
      <color theme="1"/>
      <name val="Calibri"/>
      <family val="2"/>
      <scheme val="minor"/>
    </font>
    <font>
      <b/>
      <sz val="14"/>
      <color theme="1"/>
      <name val="Cambria"/>
      <family val="1"/>
    </font>
    <font>
      <sz val="11"/>
      <color rgb="FFFF0000"/>
      <name val="Calibri"/>
      <family val="2"/>
      <scheme val="minor"/>
    </font>
    <font>
      <sz val="16"/>
      <color theme="1"/>
      <name val="Arial Black"/>
      <family val="2"/>
    </font>
    <font>
      <b/>
      <sz val="9"/>
      <color indexed="81"/>
      <name val="Tahoma"/>
      <family val="2"/>
    </font>
    <font>
      <b/>
      <sz val="11"/>
      <color theme="1"/>
      <name val="Calibri"/>
      <family val="2"/>
      <scheme val="minor"/>
    </font>
    <font>
      <sz val="8"/>
      <color theme="1"/>
      <name val="Calibri"/>
      <family val="2"/>
      <scheme val="minor"/>
    </font>
    <font>
      <sz val="11"/>
      <color theme="1"/>
      <name val="Calibri"/>
      <family val="2"/>
      <scheme val="minor"/>
    </font>
    <font>
      <sz val="10"/>
      <color theme="1"/>
      <name val="Calibri"/>
      <family val="2"/>
      <scheme val="minor"/>
    </font>
    <font>
      <b/>
      <sz val="10"/>
      <color rgb="FFFF0000"/>
      <name val="Calibri"/>
      <family val="2"/>
      <scheme val="minor"/>
    </font>
    <font>
      <i/>
      <sz val="11"/>
      <color theme="1"/>
      <name val="Calibri"/>
      <family val="2"/>
      <scheme val="minor"/>
    </font>
    <font>
      <b/>
      <sz val="11"/>
      <color rgb="FFFF0000"/>
      <name val="Calibri"/>
      <family val="2"/>
      <scheme val="minor"/>
    </font>
    <font>
      <b/>
      <sz val="11"/>
      <color theme="5"/>
      <name val="Calibri"/>
      <family val="2"/>
      <scheme val="minor"/>
    </font>
    <font>
      <b/>
      <vertAlign val="superscript"/>
      <sz val="14"/>
      <color theme="1"/>
      <name val="Cambria"/>
      <family val="1"/>
    </font>
    <font>
      <b/>
      <sz val="11"/>
      <color rgb="FFFF8000"/>
      <name val="Calibri"/>
      <family val="2"/>
      <scheme val="minor"/>
    </font>
    <font>
      <sz val="18"/>
      <color rgb="FF0070C0"/>
      <name val="Wingdings"/>
      <charset val="2"/>
    </font>
    <font>
      <sz val="18"/>
      <color rgb="FF0070C0"/>
      <name val="Calibri"/>
      <family val="2"/>
      <scheme val="minor"/>
    </font>
    <font>
      <sz val="18"/>
      <color rgb="FF0070C0"/>
      <name val="Calibri"/>
      <family val="2"/>
      <charset val="2"/>
    </font>
    <font>
      <sz val="18"/>
      <color rgb="FF0070C0"/>
      <name val="Calibri"/>
      <family val="2"/>
    </font>
    <font>
      <b/>
      <i/>
      <sz val="14"/>
      <color theme="1"/>
      <name val="Calibri"/>
      <family val="2"/>
      <scheme val="minor"/>
    </font>
    <font>
      <b/>
      <i/>
      <sz val="11"/>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99FFFF"/>
        <bgColor indexed="64"/>
      </patternFill>
    </fill>
    <fill>
      <patternFill patternType="solid">
        <fgColor rgb="FF99FF99"/>
        <bgColor indexed="64"/>
      </patternFill>
    </fill>
    <fill>
      <patternFill patternType="solid">
        <fgColor rgb="FFFFCC99"/>
        <bgColor indexed="64"/>
      </patternFill>
    </fill>
    <fill>
      <patternFill patternType="solid">
        <fgColor rgb="FFCCFF99"/>
        <bgColor indexed="64"/>
      </patternFill>
    </fill>
    <fill>
      <patternFill patternType="solid">
        <fgColor rgb="FF99FFCC"/>
        <bgColor indexed="64"/>
      </patternFill>
    </fill>
    <fill>
      <patternFill patternType="solid">
        <fgColor rgb="FF99CCFF"/>
        <bgColor indexed="64"/>
      </patternFill>
    </fill>
    <fill>
      <patternFill patternType="solid">
        <fgColor rgb="FFFF99CC"/>
        <bgColor indexed="64"/>
      </patternFill>
    </fill>
    <fill>
      <patternFill patternType="solid">
        <fgColor rgb="FFCC99FF"/>
        <bgColor indexed="64"/>
      </patternFill>
    </fill>
    <fill>
      <patternFill patternType="solid">
        <fgColor rgb="FFFFFFF0"/>
        <bgColor indexed="64"/>
      </patternFill>
    </fill>
    <fill>
      <patternFill patternType="solid">
        <fgColor rgb="FFFF99FF"/>
        <bgColor indexed="64"/>
      </patternFill>
    </fill>
    <fill>
      <patternFill patternType="solid">
        <fgColor rgb="FFFFFFCC"/>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43" fontId="8" fillId="0" borderId="0" applyFont="0" applyFill="0" applyBorder="0" applyAlignment="0" applyProtection="0"/>
  </cellStyleXfs>
  <cellXfs count="62">
    <xf numFmtId="0" fontId="0" fillId="0" borderId="0" xfId="0"/>
    <xf numFmtId="0" fontId="1" fillId="0" borderId="0" xfId="0" applyFont="1"/>
    <xf numFmtId="22" fontId="0" fillId="0" borderId="0" xfId="0" applyNumberFormat="1"/>
    <xf numFmtId="0" fontId="0" fillId="0" borderId="0" xfId="0" applyFont="1" applyAlignment="1">
      <alignment horizontal="center"/>
    </xf>
    <xf numFmtId="0" fontId="4" fillId="0" borderId="1" xfId="0" applyFont="1" applyBorder="1" applyAlignment="1">
      <alignment horizontal="center"/>
    </xf>
    <xf numFmtId="0" fontId="6" fillId="0" borderId="0" xfId="0" applyFont="1"/>
    <xf numFmtId="0" fontId="0" fillId="0" borderId="0" xfId="0" applyFill="1"/>
    <xf numFmtId="0" fontId="2" fillId="0" borderId="0" xfId="0" applyFont="1" applyFill="1" applyAlignment="1">
      <alignment horizontal="left"/>
    </xf>
    <xf numFmtId="0" fontId="7" fillId="0" borderId="0" xfId="0" applyFont="1" applyAlignment="1">
      <alignment horizontal="center" vertical="top"/>
    </xf>
    <xf numFmtId="14" fontId="0" fillId="0" borderId="0" xfId="0" applyNumberFormat="1"/>
    <xf numFmtId="43" fontId="0" fillId="0" borderId="0" xfId="1" applyFont="1"/>
    <xf numFmtId="0" fontId="0" fillId="0" borderId="0" xfId="0" applyAlignment="1">
      <alignment horizontal="center"/>
    </xf>
    <xf numFmtId="0" fontId="0" fillId="0" borderId="0" xfId="0" applyAlignment="1">
      <alignment horizontal="left"/>
    </xf>
    <xf numFmtId="164" fontId="0" fillId="0" borderId="0" xfId="0" applyNumberFormat="1"/>
    <xf numFmtId="0" fontId="10" fillId="2" borderId="0" xfId="0" applyFont="1" applyFill="1"/>
    <xf numFmtId="0" fontId="0" fillId="3" borderId="0" xfId="0" applyFill="1"/>
    <xf numFmtId="0" fontId="0" fillId="4" borderId="0" xfId="0" applyFill="1" applyAlignment="1">
      <alignment horizontal="left"/>
    </xf>
    <xf numFmtId="0" fontId="0" fillId="4" borderId="0" xfId="0" applyFill="1"/>
    <xf numFmtId="0" fontId="0" fillId="5" borderId="0" xfId="0" applyFill="1"/>
    <xf numFmtId="0" fontId="0" fillId="6" borderId="0" xfId="0" applyFill="1"/>
    <xf numFmtId="0" fontId="3" fillId="7" borderId="0" xfId="0" applyFont="1" applyFill="1"/>
    <xf numFmtId="0" fontId="0" fillId="8" borderId="0" xfId="0" applyFill="1"/>
    <xf numFmtId="0" fontId="0" fillId="10" borderId="0" xfId="0" applyFill="1"/>
    <xf numFmtId="0" fontId="2" fillId="8" borderId="0" xfId="0" applyFont="1" applyFill="1" applyAlignment="1">
      <alignment horizontal="left"/>
    </xf>
    <xf numFmtId="0" fontId="1" fillId="2" borderId="2" xfId="0" applyFont="1" applyFill="1" applyBorder="1" applyAlignment="1">
      <alignment horizontal="center"/>
    </xf>
    <xf numFmtId="0" fontId="11" fillId="0" borderId="0" xfId="0" applyFont="1"/>
    <xf numFmtId="0" fontId="2" fillId="12" borderId="0" xfId="0" applyFont="1" applyFill="1"/>
    <xf numFmtId="0" fontId="0" fillId="12" borderId="0" xfId="0" applyFill="1"/>
    <xf numFmtId="165" fontId="0" fillId="0" borderId="0" xfId="0" applyNumberFormat="1"/>
    <xf numFmtId="0" fontId="0" fillId="0" borderId="0" xfId="0" applyAlignment="1">
      <alignment horizontal="right"/>
    </xf>
    <xf numFmtId="0" fontId="1" fillId="2" borderId="2" xfId="0" quotePrefix="1" applyFont="1" applyFill="1" applyBorder="1" applyAlignment="1">
      <alignment horizontal="center"/>
    </xf>
    <xf numFmtId="0" fontId="16" fillId="0" borderId="0" xfId="0" applyFont="1" applyAlignment="1">
      <alignment horizontal="left"/>
    </xf>
    <xf numFmtId="0" fontId="16" fillId="0" borderId="0" xfId="0" applyFont="1"/>
    <xf numFmtId="0" fontId="18" fillId="0" borderId="0" xfId="0" applyFont="1" applyAlignment="1">
      <alignment horizontal="center"/>
    </xf>
    <xf numFmtId="0" fontId="0" fillId="0" borderId="0" xfId="0" applyAlignment="1">
      <alignment vertical="center"/>
    </xf>
    <xf numFmtId="0" fontId="1" fillId="0" borderId="0" xfId="0" applyFont="1" applyFill="1" applyBorder="1" applyAlignment="1">
      <alignment horizontal="center"/>
    </xf>
    <xf numFmtId="0" fontId="0" fillId="0" borderId="0" xfId="0" applyAlignment="1">
      <alignment vertical="center"/>
    </xf>
    <xf numFmtId="0" fontId="16" fillId="0" borderId="0" xfId="1" applyNumberFormat="1" applyFont="1" applyAlignment="1">
      <alignment horizontal="left"/>
    </xf>
    <xf numFmtId="0" fontId="16" fillId="0" borderId="0" xfId="1" applyNumberFormat="1" applyFont="1" applyAlignment="1">
      <alignment horizontal="left" vertical="center"/>
    </xf>
    <xf numFmtId="0" fontId="0" fillId="11" borderId="0" xfId="0" applyFill="1" applyAlignment="1">
      <alignment vertical="top" wrapText="1"/>
    </xf>
    <xf numFmtId="0" fontId="0" fillId="13" borderId="0" xfId="0" applyFill="1" applyAlignment="1">
      <alignment vertical="top" wrapText="1"/>
    </xf>
    <xf numFmtId="0" fontId="9" fillId="0" borderId="0" xfId="0" applyFont="1"/>
    <xf numFmtId="0" fontId="2" fillId="8" borderId="0" xfId="0" applyFont="1" applyFill="1" applyAlignment="1">
      <alignment horizontal="left"/>
    </xf>
    <xf numFmtId="0" fontId="2" fillId="8" borderId="0" xfId="0" applyFont="1" applyFill="1" applyAlignment="1">
      <alignment horizontal="center"/>
    </xf>
    <xf numFmtId="22" fontId="0" fillId="0" borderId="0" xfId="0" applyNumberFormat="1" applyAlignment="1">
      <alignment horizontal="center"/>
    </xf>
    <xf numFmtId="0" fontId="2" fillId="7" borderId="0" xfId="0" applyFont="1" applyFill="1" applyAlignment="1">
      <alignment horizontal="left"/>
    </xf>
    <xf numFmtId="0" fontId="2" fillId="6" borderId="0" xfId="0" applyFont="1" applyFill="1" applyAlignment="1">
      <alignment horizontal="left"/>
    </xf>
    <xf numFmtId="0" fontId="2" fillId="5"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3" borderId="0" xfId="0" applyFont="1" applyFill="1" applyAlignment="1">
      <alignment horizontal="left"/>
    </xf>
    <xf numFmtId="0" fontId="2" fillId="4" borderId="0" xfId="0" applyFont="1" applyFill="1" applyAlignment="1">
      <alignment horizontal="left"/>
    </xf>
    <xf numFmtId="0" fontId="0" fillId="11" borderId="0" xfId="0" applyFill="1" applyAlignment="1">
      <alignment vertical="center" wrapText="1"/>
    </xf>
    <xf numFmtId="0" fontId="20" fillId="4" borderId="0" xfId="0" applyFont="1" applyFill="1" applyAlignment="1">
      <alignment vertical="center"/>
    </xf>
    <xf numFmtId="0" fontId="0" fillId="0" borderId="0" xfId="0" applyAlignment="1">
      <alignment vertical="center" wrapText="1"/>
    </xf>
    <xf numFmtId="0" fontId="0" fillId="0" borderId="0" xfId="0" applyAlignment="1">
      <alignment vertical="center"/>
    </xf>
    <xf numFmtId="0" fontId="16" fillId="0" borderId="0" xfId="0" applyFont="1" applyAlignment="1">
      <alignment horizontal="center"/>
    </xf>
    <xf numFmtId="0" fontId="17" fillId="0" borderId="0" xfId="0" applyFont="1" applyAlignment="1">
      <alignment horizontal="center"/>
    </xf>
    <xf numFmtId="0" fontId="16" fillId="0" borderId="0" xfId="0" applyFont="1" applyAlignment="1">
      <alignment horizontal="left" vertical="center"/>
    </xf>
    <xf numFmtId="0" fontId="17" fillId="0" borderId="0" xfId="0" applyFont="1" applyAlignment="1">
      <alignment horizontal="left" vertical="center"/>
    </xf>
    <xf numFmtId="0" fontId="16" fillId="0" borderId="0" xfId="0" applyFont="1" applyAlignment="1">
      <alignment horizontal="center" vertical="center"/>
    </xf>
    <xf numFmtId="0" fontId="17" fillId="0" borderId="0" xfId="0" applyFont="1" applyAlignment="1">
      <alignment horizontal="center" vertical="center"/>
    </xf>
  </cellXfs>
  <cellStyles count="2">
    <cellStyle name="Comma" xfId="1" builtinId="3"/>
    <cellStyle name="Normal" xfId="0" builtinId="0"/>
  </cellStyles>
  <dxfs count="79">
    <dxf>
      <numFmt numFmtId="165" formatCode="[$-409]h:mm\ AM/PM;@"/>
    </dxf>
    <dxf>
      <numFmt numFmtId="19" formatCode="m/d/yy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color rgb="FFFF8000"/>
      </font>
      <fill>
        <patternFill>
          <bgColor rgb="FFFFCC99"/>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alignment horizontal="center" vertical="bottom" textRotation="0" wrapText="0" indent="0" justifyLastLine="0" shrinkToFit="0" readingOrder="0"/>
    </dxf>
    <dxf>
      <font>
        <color rgb="FF006100"/>
      </font>
      <fill>
        <patternFill>
          <bgColor rgb="FFC6EFCE"/>
        </patternFill>
      </fill>
    </dxf>
    <dxf>
      <alignment horizontal="left"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numFmt numFmtId="27" formatCode="m/d/yyyy\ h:mm"/>
    </dxf>
    <dxf>
      <numFmt numFmtId="19" formatCode="m/d/yyyy"/>
    </dxf>
    <dxf>
      <font>
        <b val="0"/>
        <i val="0"/>
        <strike val="0"/>
        <condense val="0"/>
        <extend val="0"/>
        <outline val="0"/>
        <shadow val="0"/>
        <u val="none"/>
        <vertAlign val="baseline"/>
        <sz val="11"/>
        <color theme="1"/>
        <name val="Calibri"/>
        <family val="2"/>
        <scheme val="minor"/>
      </font>
    </dxf>
    <dxf>
      <font>
        <color rgb="FF996600"/>
      </font>
      <fill>
        <patternFill>
          <bgColor rgb="FFFFE699"/>
        </patternFill>
      </fill>
    </dxf>
    <dxf>
      <font>
        <color rgb="FF006100"/>
      </font>
      <fill>
        <patternFill>
          <bgColor rgb="FFC6EFCE"/>
        </patternFill>
      </fill>
    </dxf>
    <dxf>
      <font>
        <b/>
        <i/>
        <color rgb="FF9C0006"/>
      </font>
      <fill>
        <patternFill>
          <bgColor rgb="FFFFC7CE"/>
        </patternFill>
      </fill>
    </dxf>
    <dxf>
      <font>
        <color rgb="FF996600"/>
      </font>
      <fill>
        <patternFill>
          <bgColor rgb="FFFFE699"/>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i val="0"/>
        <color rgb="FFFF8000"/>
      </font>
      <fill>
        <patternFill>
          <bgColor rgb="FFFFCC99"/>
        </patternFill>
      </fill>
    </dxf>
    <dxf>
      <font>
        <color rgb="FF9C0006"/>
      </font>
      <fill>
        <patternFill>
          <bgColor rgb="FFFFC7CE"/>
        </patternFill>
      </fill>
    </dxf>
    <dxf>
      <font>
        <color rgb="FF9C0006"/>
      </font>
      <fill>
        <patternFill>
          <bgColor rgb="FFFFC7CE"/>
        </patternFill>
      </fill>
    </dxf>
    <dxf>
      <numFmt numFmtId="164" formatCode="0.0"/>
    </dxf>
    <dxf>
      <font>
        <b/>
        <i val="0"/>
        <strike val="0"/>
        <condense val="0"/>
        <extend val="0"/>
        <outline val="0"/>
        <shadow val="0"/>
        <u val="none"/>
        <vertAlign val="baseline"/>
        <sz val="14"/>
        <color theme="1"/>
        <name val="Calibri"/>
        <family val="2"/>
        <scheme val="minor"/>
      </font>
    </dxf>
    <dxf>
      <font>
        <b/>
        <i val="0"/>
        <color rgb="FFFF8000"/>
      </font>
      <fill>
        <patternFill>
          <bgColor rgb="FFFFCC99"/>
        </patternFill>
      </fill>
    </dxf>
    <dxf>
      <font>
        <color rgb="FF9C0006"/>
      </font>
      <fill>
        <patternFill>
          <bgColor rgb="FFFFC7CE"/>
        </patternFill>
      </fill>
    </dxf>
    <dxf>
      <font>
        <b/>
        <i val="0"/>
        <color rgb="FFFF0000"/>
      </font>
      <fill>
        <patternFill>
          <bgColor rgb="FFFFFF00"/>
        </patternFill>
      </fill>
    </dxf>
    <dxf>
      <font>
        <color rgb="FF9C0006"/>
      </font>
      <fill>
        <patternFill>
          <bgColor rgb="FFFFC7CE"/>
        </patternFill>
      </fill>
    </dxf>
    <dxf>
      <font>
        <color rgb="FF0066CC"/>
      </font>
      <fill>
        <patternFill>
          <bgColor rgb="FF99CCFF"/>
        </patternFill>
      </fill>
    </dxf>
    <dxf>
      <font>
        <color rgb="FFFF8000"/>
      </font>
      <fill>
        <patternFill>
          <bgColor rgb="FFFFCC99"/>
        </patternFill>
      </fill>
    </dxf>
    <dxf>
      <font>
        <color rgb="FFFF6600"/>
      </font>
      <fill>
        <patternFill>
          <bgColor rgb="FFFFE100"/>
        </patternFill>
      </fill>
    </dxf>
    <dxf>
      <font>
        <color rgb="FF0066CC"/>
      </font>
      <fill>
        <patternFill>
          <bgColor rgb="FF99CCFF"/>
        </patternFill>
      </fill>
    </dxf>
    <dxf>
      <font>
        <color rgb="FFC8C300"/>
      </font>
      <fill>
        <patternFill>
          <bgColor rgb="FFFFFFCC"/>
        </patternFill>
      </fill>
    </dxf>
    <dxf>
      <font>
        <color rgb="FF9C0006"/>
      </font>
      <fill>
        <patternFill>
          <bgColor rgb="FFFFC7CE"/>
        </patternFill>
      </fill>
    </dxf>
    <dxf>
      <font>
        <color rgb="FF006100"/>
      </font>
      <fill>
        <patternFill>
          <bgColor rgb="FFC6EFCE"/>
        </patternFill>
      </fill>
    </dxf>
    <dxf>
      <font>
        <color rgb="FFFF6600"/>
      </font>
      <fill>
        <patternFill>
          <bgColor rgb="FFFFFF00"/>
        </patternFill>
      </fill>
    </dxf>
    <dxf>
      <font>
        <color rgb="FF006100"/>
      </font>
      <fill>
        <patternFill>
          <bgColor rgb="FFC6EFCE"/>
        </patternFill>
      </fill>
    </dxf>
    <dxf>
      <fill>
        <patternFill>
          <bgColor rgb="FFF0E1FF"/>
        </patternFill>
      </fill>
    </dxf>
    <dxf>
      <fill>
        <patternFill>
          <bgColor rgb="FFE1C3FF"/>
        </patternFill>
      </fill>
    </dxf>
    <dxf>
      <font>
        <b/>
        <i val="0"/>
        <color theme="0"/>
      </font>
      <fill>
        <patternFill>
          <bgColor rgb="FF8000FF"/>
        </patternFill>
      </fill>
    </dxf>
    <dxf>
      <fill>
        <patternFill>
          <bgColor rgb="FFE1FFF0"/>
        </patternFill>
      </fill>
    </dxf>
    <dxf>
      <fill>
        <patternFill>
          <bgColor rgb="FF99FFCC"/>
        </patternFill>
      </fill>
    </dxf>
    <dxf>
      <font>
        <b/>
        <i val="0"/>
      </font>
      <fill>
        <patternFill>
          <bgColor rgb="FF00CC66"/>
        </patternFill>
      </fill>
    </dxf>
    <dxf>
      <fill>
        <patternFill>
          <bgColor rgb="FFE1FFC3"/>
        </patternFill>
      </fill>
    </dxf>
    <dxf>
      <fill>
        <patternFill>
          <bgColor rgb="FF99FF33"/>
        </patternFill>
      </fill>
    </dxf>
    <dxf>
      <font>
        <b/>
        <i val="0"/>
      </font>
      <fill>
        <patternFill>
          <bgColor rgb="FF66CC00"/>
        </patternFill>
      </fill>
    </dxf>
    <dxf>
      <fill>
        <patternFill>
          <bgColor rgb="FFFFE1F0"/>
        </patternFill>
      </fill>
    </dxf>
    <dxf>
      <fill>
        <patternFill>
          <bgColor rgb="FFFF99CC"/>
        </patternFill>
      </fill>
    </dxf>
    <dxf>
      <font>
        <b/>
        <i val="0"/>
        <color theme="0"/>
      </font>
      <fill>
        <patternFill>
          <bgColor rgb="FFFF0080"/>
        </patternFill>
      </fill>
    </dxf>
    <dxf>
      <fill>
        <patternFill>
          <bgColor rgb="FFFFF0E1"/>
        </patternFill>
      </fill>
    </dxf>
    <dxf>
      <fill>
        <patternFill>
          <bgColor rgb="FFFFCC99"/>
        </patternFill>
      </fill>
    </dxf>
    <dxf>
      <font>
        <b/>
        <i val="0"/>
        <color theme="0"/>
      </font>
      <fill>
        <patternFill>
          <bgColor rgb="FFFF8000"/>
        </patternFill>
      </fill>
    </dxf>
    <dxf>
      <fill>
        <patternFill>
          <bgColor rgb="FFE6FFE6"/>
        </patternFill>
      </fill>
    </dxf>
    <dxf>
      <fill>
        <patternFill patternType="solid">
          <fgColor auto="1"/>
          <bgColor rgb="FF99FF99"/>
        </patternFill>
      </fill>
    </dxf>
    <dxf>
      <font>
        <b/>
        <color theme="0"/>
      </font>
      <fill>
        <patternFill patternType="solid">
          <fgColor auto="1"/>
          <bgColor rgb="FF009900"/>
        </patternFill>
      </fill>
      <border>
        <bottom style="thick">
          <color theme="0"/>
        </bottom>
      </border>
    </dxf>
    <dxf>
      <fill>
        <patternFill>
          <bgColor rgb="FFCCFFFF"/>
        </patternFill>
      </fill>
    </dxf>
    <dxf>
      <fill>
        <patternFill>
          <bgColor rgb="FF33FFFF"/>
        </patternFill>
      </fill>
    </dxf>
    <dxf>
      <font>
        <b/>
        <i val="0"/>
      </font>
      <fill>
        <patternFill>
          <bgColor rgb="FF00CCCC"/>
        </patternFill>
      </fill>
    </dxf>
    <dxf>
      <fill>
        <patternFill>
          <bgColor rgb="FFF0F0FF"/>
        </patternFill>
      </fill>
    </dxf>
    <dxf>
      <fill>
        <patternFill>
          <bgColor rgb="FFCCCCFF"/>
        </patternFill>
      </fill>
    </dxf>
    <dxf>
      <font>
        <b/>
        <i val="0"/>
        <color theme="0"/>
      </font>
      <fill>
        <patternFill>
          <bgColor rgb="FF0000FF"/>
        </patternFill>
      </fill>
    </dxf>
    <dxf>
      <fill>
        <patternFill>
          <bgColor rgb="FFE1F0FF"/>
        </patternFill>
      </fill>
    </dxf>
    <dxf>
      <fill>
        <patternFill>
          <bgColor rgb="FFB4E1FF"/>
        </patternFill>
      </fill>
    </dxf>
    <dxf>
      <font>
        <b/>
        <i val="0"/>
        <color theme="0"/>
      </font>
      <fill>
        <patternFill>
          <bgColor rgb="FF0079CC"/>
        </patternFill>
      </fill>
    </dxf>
  </dxfs>
  <tableStyles count="9" defaultTableStyle="TableStyleMedium2" defaultPivotStyle="PivotStyleLight16">
    <tableStyle name="Azure Stripe" pivot="0" count="3" xr9:uid="{00000000-0011-0000-FFFF-FFFF00000000}">
      <tableStyleElement type="headerRow" dxfId="78"/>
      <tableStyleElement type="firstRowStripe" dxfId="77"/>
      <tableStyleElement type="secondRowStripe" dxfId="76"/>
    </tableStyle>
    <tableStyle name="Blue stripe" pivot="0" count="3" xr9:uid="{00000000-0011-0000-FFFF-FFFF01000000}">
      <tableStyleElement type="headerRow" dxfId="75"/>
      <tableStyleElement type="firstRowStripe" dxfId="74"/>
      <tableStyleElement type="secondRowStripe" dxfId="73"/>
    </tableStyle>
    <tableStyle name="Cyan stripe" pivot="0" count="3" xr9:uid="{00000000-0011-0000-FFFF-FFFF02000000}">
      <tableStyleElement type="headerRow" dxfId="72"/>
      <tableStyleElement type="firstRowStripe" dxfId="71"/>
      <tableStyleElement type="secondRowStripe" dxfId="70"/>
    </tableStyle>
    <tableStyle name="Green stripe" pivot="0" count="3" xr9:uid="{00000000-0011-0000-FFFF-FFFF03000000}">
      <tableStyleElement type="headerRow" dxfId="69"/>
      <tableStyleElement type="firstRowStripe" dxfId="68"/>
      <tableStyleElement type="secondRowStripe" dxfId="67"/>
    </tableStyle>
    <tableStyle name="Orange stripe" pivot="0" count="3" xr9:uid="{00000000-0011-0000-FFFF-FFFF04000000}">
      <tableStyleElement type="headerRow" dxfId="66"/>
      <tableStyleElement type="firstRowStripe" dxfId="65"/>
      <tableStyleElement type="secondRowStripe" dxfId="64"/>
    </tableStyle>
    <tableStyle name="Pink stripe" pivot="0" count="3" xr9:uid="{00000000-0011-0000-FFFF-FFFF05000000}">
      <tableStyleElement type="headerRow" dxfId="63"/>
      <tableStyleElement type="firstRowStripe" dxfId="62"/>
      <tableStyleElement type="secondRowStripe" dxfId="61"/>
    </tableStyle>
    <tableStyle name="Spring stripe" pivot="0" count="3" xr9:uid="{00000000-0011-0000-FFFF-FFFF06000000}">
      <tableStyleElement type="headerRow" dxfId="60"/>
      <tableStyleElement type="firstRowStripe" dxfId="59"/>
      <tableStyleElement type="secondRowStripe" dxfId="58"/>
    </tableStyle>
    <tableStyle name="Teal stripe" pivot="0" count="3" xr9:uid="{00000000-0011-0000-FFFF-FFFF07000000}">
      <tableStyleElement type="headerRow" dxfId="57"/>
      <tableStyleElement type="firstRowStripe" dxfId="56"/>
      <tableStyleElement type="secondRowStripe" dxfId="55"/>
    </tableStyle>
    <tableStyle name="Violet stripe" pivot="0" count="3" xr9:uid="{00000000-0011-0000-FFFF-FFFF08000000}">
      <tableStyleElement type="headerRow" dxfId="54"/>
      <tableStyleElement type="firstRowStripe" dxfId="53"/>
      <tableStyleElement type="secondRowStripe" dxfId="52"/>
    </tableStyle>
  </tableStyles>
  <colors>
    <mruColors>
      <color rgb="FFFFFFCC"/>
      <color rgb="FFFF8000"/>
      <color rgb="FFFFFFF0"/>
      <color rgb="FFFF99FF"/>
      <color rgb="FFFF66FF"/>
      <color rgb="FF0000FF"/>
      <color rgb="FFF0F0FF"/>
      <color rgb="FFCCCCFF"/>
      <color rgb="FFFF0080"/>
      <color rgb="FFFFE1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142875</xdr:colOff>
          <xdr:row>0</xdr:row>
          <xdr:rowOff>57150</xdr:rowOff>
        </xdr:from>
        <xdr:to>
          <xdr:col>7</xdr:col>
          <xdr:colOff>695325</xdr:colOff>
          <xdr:row>1</xdr:row>
          <xdr:rowOff>104775</xdr:rowOff>
        </xdr:to>
        <xdr:sp macro="" textlink="">
          <xdr:nvSpPr>
            <xdr:cNvPr id="1025" name="cmdRemoveSQLOrpha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57150</xdr:rowOff>
        </xdr:from>
        <xdr:to>
          <xdr:col>6</xdr:col>
          <xdr:colOff>657225</xdr:colOff>
          <xdr:row>1</xdr:row>
          <xdr:rowOff>171450</xdr:rowOff>
        </xdr:to>
        <xdr:sp macro="" textlink="">
          <xdr:nvSpPr>
            <xdr:cNvPr id="10241" name="cmdRemoveLocks"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0</xdr:row>
          <xdr:rowOff>38100</xdr:rowOff>
        </xdr:from>
        <xdr:to>
          <xdr:col>8</xdr:col>
          <xdr:colOff>981075</xdr:colOff>
          <xdr:row>1</xdr:row>
          <xdr:rowOff>142875</xdr:rowOff>
        </xdr:to>
        <xdr:sp macro="" textlink="">
          <xdr:nvSpPr>
            <xdr:cNvPr id="7169" name="cmdRemoveUnmatchedBatches"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0</xdr:row>
          <xdr:rowOff>38100</xdr:rowOff>
        </xdr:from>
        <xdr:to>
          <xdr:col>9</xdr:col>
          <xdr:colOff>666750</xdr:colOff>
          <xdr:row>1</xdr:row>
          <xdr:rowOff>114300</xdr:rowOff>
        </xdr:to>
        <xdr:sp macro="" textlink="">
          <xdr:nvSpPr>
            <xdr:cNvPr id="8193" name="cmdCloseResources"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0</xdr:row>
          <xdr:rowOff>76200</xdr:rowOff>
        </xdr:from>
        <xdr:to>
          <xdr:col>10</xdr:col>
          <xdr:colOff>47625</xdr:colOff>
          <xdr:row>1</xdr:row>
          <xdr:rowOff>133350</xdr:rowOff>
        </xdr:to>
        <xdr:sp macro="" textlink="">
          <xdr:nvSpPr>
            <xdr:cNvPr id="4097" name="cmdRemoveSessions"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400050</xdr:colOff>
          <xdr:row>3</xdr:row>
          <xdr:rowOff>95250</xdr:rowOff>
        </xdr:from>
        <xdr:to>
          <xdr:col>1</xdr:col>
          <xdr:colOff>2133600</xdr:colOff>
          <xdr:row>5</xdr:row>
          <xdr:rowOff>123825</xdr:rowOff>
        </xdr:to>
        <xdr:sp macro="" textlink="">
          <xdr:nvSpPr>
            <xdr:cNvPr id="14338" name="cmdShowConnections"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6</xdr:row>
          <xdr:rowOff>19050</xdr:rowOff>
        </xdr:from>
        <xdr:to>
          <xdr:col>1</xdr:col>
          <xdr:colOff>2124075</xdr:colOff>
          <xdr:row>8</xdr:row>
          <xdr:rowOff>0</xdr:rowOff>
        </xdr:to>
        <xdr:sp macro="" textlink="">
          <xdr:nvSpPr>
            <xdr:cNvPr id="14339" name="cmdUpdateConnections"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2</xdr:row>
          <xdr:rowOff>47625</xdr:rowOff>
        </xdr:from>
        <xdr:to>
          <xdr:col>8</xdr:col>
          <xdr:colOff>142875</xdr:colOff>
          <xdr:row>4</xdr:row>
          <xdr:rowOff>28575</xdr:rowOff>
        </xdr:to>
        <xdr:sp macro="" textlink="">
          <xdr:nvSpPr>
            <xdr:cNvPr id="14340" name="cmdTestCommandText" hidden="1">
              <a:extLst>
                <a:ext uri="{63B3BB69-23CF-44E3-9099-C40C66FF867C}">
                  <a14:compatExt spid="_x0000_s14340"/>
                </a:ext>
                <a:ext uri="{FF2B5EF4-FFF2-40B4-BE49-F238E27FC236}">
                  <a16:creationId xmlns:a16="http://schemas.microsoft.com/office/drawing/2014/main" id="{00000000-0008-0000-0A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6</xdr:row>
          <xdr:rowOff>9525</xdr:rowOff>
        </xdr:from>
        <xdr:to>
          <xdr:col>4</xdr:col>
          <xdr:colOff>542925</xdr:colOff>
          <xdr:row>7</xdr:row>
          <xdr:rowOff>180975</xdr:rowOff>
        </xdr:to>
        <xdr:sp macro="" textlink="">
          <xdr:nvSpPr>
            <xdr:cNvPr id="14341" name="cmdSetRefreshInterval" hidden="1">
              <a:extLst>
                <a:ext uri="{63B3BB69-23CF-44E3-9099-C40C66FF867C}">
                  <a14:compatExt spid="_x0000_s14341"/>
                </a:ext>
                <a:ext uri="{FF2B5EF4-FFF2-40B4-BE49-F238E27FC236}">
                  <a16:creationId xmlns:a16="http://schemas.microsoft.com/office/drawing/2014/main" id="{00000000-0008-0000-0A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3</xdr:row>
          <xdr:rowOff>123825</xdr:rowOff>
        </xdr:from>
        <xdr:to>
          <xdr:col>4</xdr:col>
          <xdr:colOff>533400</xdr:colOff>
          <xdr:row>5</xdr:row>
          <xdr:rowOff>95250</xdr:rowOff>
        </xdr:to>
        <xdr:sp macro="" textlink="">
          <xdr:nvSpPr>
            <xdr:cNvPr id="14342" name="cmdSetRefreshTo0" hidden="1">
              <a:extLst>
                <a:ext uri="{63B3BB69-23CF-44E3-9099-C40C66FF867C}">
                  <a14:compatExt spid="_x0000_s14342"/>
                </a:ext>
                <a:ext uri="{FF2B5EF4-FFF2-40B4-BE49-F238E27FC236}">
                  <a16:creationId xmlns:a16="http://schemas.microsoft.com/office/drawing/2014/main" id="{00000000-0008-0000-0A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8</xdr:row>
          <xdr:rowOff>142875</xdr:rowOff>
        </xdr:from>
        <xdr:to>
          <xdr:col>1</xdr:col>
          <xdr:colOff>1428750</xdr:colOff>
          <xdr:row>9</xdr:row>
          <xdr:rowOff>219075</xdr:rowOff>
        </xdr:to>
        <xdr:sp macro="" textlink="">
          <xdr:nvSpPr>
            <xdr:cNvPr id="14343" name="chkLockUpdateConnectionsButton" hidden="1">
              <a:extLst>
                <a:ext uri="{63B3BB69-23CF-44E3-9099-C40C66FF867C}">
                  <a14:compatExt spid="_x0000_s14343"/>
                </a:ext>
                <a:ext uri="{FF2B5EF4-FFF2-40B4-BE49-F238E27FC236}">
                  <a16:creationId xmlns:a16="http://schemas.microsoft.com/office/drawing/2014/main" id="{00000000-0008-0000-0A00-0000073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4" xr16:uid="{00000000-0016-0000-0000-000000000000}" autoFormatId="16" applyNumberFormats="0" applyBorderFormats="0" applyFontFormats="0" applyPatternFormats="0" applyAlignmentFormats="0" applyWidthHeightFormats="0">
  <queryTableRefresh nextId="7">
    <queryTableFields count="6">
      <queryTableField id="1" name="User Name" tableColumnId="1"/>
      <queryTableField id="2" name="Type" tableColumnId="2"/>
      <queryTableField id="3" name="Status" tableColumnId="3"/>
      <queryTableField id="4" name="Proc status" tableColumnId="4"/>
      <queryTableField id="5" name="Company" tableColumnId="5"/>
      <queryTableField id="6" name="Logged in at"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DYNAMICS_GP2016_1" removeDataOnSave="1" connectionId="3" xr16:uid="{00000000-0016-0000-0000-000001000000}" autoFormatId="16" applyNumberFormats="0" applyBorderFormats="0" applyFontFormats="0" applyPatternFormats="0" applyAlignmentFormats="0" applyWidthHeightFormats="0">
  <queryTableRefresh nextId="3">
    <queryTableFields count="2">
      <queryTableField id="1" name="Stat" tableColumnId="1"/>
      <queryTableField id="2" name="Count"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DYNAMICS_GP2016_2" removeDataOnSave="1" connectionId="2" xr16:uid="{00000000-0016-0000-0000-000002000000}" autoFormatId="16" applyNumberFormats="0" applyBorderFormats="0" applyFontFormats="0" applyPatternFormats="0" applyAlignmentFormats="0" applyWidthHeightFormats="0">
  <queryTableRefresh nextId="3">
    <queryTableFields count="2">
      <queryTableField id="1" name="User Name" tableColumnId="1"/>
      <queryTableField id="2" name="Processes"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12" xr16:uid="{00000000-0016-0000-0100-000003000000}" autoFormatId="16" applyNumberFormats="0" applyBorderFormats="0" applyFontFormats="0" applyPatternFormats="0" applyAlignmentFormats="0" applyWidthHeightFormats="0">
  <queryTableRefresh nextId="18">
    <queryTableFields count="17">
      <queryTableField id="1" name="User Name" tableColumnId="1"/>
      <queryTableField id="2" name="Type" tableColumnId="2"/>
      <queryTableField id="3" name="Company" tableColumnId="3"/>
      <queryTableField id="4" name="Logged in at" tableColumnId="4"/>
      <queryTableField id="5" name="For how long?" tableColumnId="5"/>
      <queryTableField id="6" name="Session" tableColumnId="6"/>
      <queryTableField id="7" name="GP_spid" tableColumnId="7"/>
      <queryTableField id="8" name="Spid_count" tableColumnId="8"/>
      <queryTableField id="9" name="Status" tableColumnId="9"/>
      <queryTableField id="10" name="Proc status" tableColumnId="10"/>
      <queryTableField id="11" name="Last" tableColumnId="11"/>
      <queryTableField id="12" name="Mins." tableColumnId="12"/>
      <queryTableField id="13" name="2nd Last" tableColumnId="13"/>
      <queryTableField id="14" name="Mins. 2nd" tableColumnId="14"/>
      <queryTableField id="15" name="B" tableColumnId="15"/>
      <queryTableField id="16" name="R" tableColumnId="16"/>
      <queryTableField id="17" name="T"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1" xr16:uid="{00000000-0016-0000-0200-000004000000}" autoFormatId="16" applyNumberFormats="0" applyBorderFormats="0" applyFontFormats="0" applyPatternFormats="0" applyAlignmentFormats="0" applyWidthHeightFormats="0">
  <queryTableRefresh nextId="14">
    <queryTableFields count="13">
      <queryTableField id="1" name="TableName" tableColumnId="1"/>
      <queryTableField id="2" name="BatchSource" tableColumnId="2"/>
      <queryTableField id="3" name="Batch#" tableColumnId="3"/>
      <queryTableField id="4" name="SERIES" tableColumnId="4"/>
      <queryTableField id="5" name="MKDTOPST" tableColumnId="5"/>
      <queryTableField id="6" name="NUMOFTRX" tableColumnId="6"/>
      <queryTableField id="7" name="BACHFREQ" tableColumnId="7"/>
      <queryTableField id="8" name="BCHCOMNT" tableColumnId="8"/>
      <queryTableField id="9" name="BCHTOTAL" tableColumnId="9"/>
      <queryTableField id="10" name="CREATDDT" tableColumnId="10"/>
      <queryTableField id="11" name="BCHSTTUS" tableColumnId="11"/>
      <queryTableField id="12" name="BatchStatusDescription" tableColumnId="12"/>
      <queryTableField id="13" name="TRXSORCE"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5" xr16:uid="{00000000-0016-0000-0300-000005000000}" autoFormatId="16" applyNumberFormats="0" applyBorderFormats="0" applyFontFormats="0" applyPatternFormats="0" applyAlignmentFormats="0" applyWidthHeightFormats="0">
  <queryTableRefresh nextId="5">
    <queryTableFields count="4">
      <queryTableField id="1" name="UserID" tableColumnId="1"/>
      <queryTableField id="2" name="DocNo Locked" tableColumnId="2"/>
      <queryTableField id="3" name="LoginDate" tableColumnId="3"/>
      <queryTableField id="4" name="table_path_nam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DYNAMICS_GP2016_2" removeDataOnSave="1" connectionId="6" xr16:uid="{00000000-0016-0000-0400-000006000000}" autoFormatId="16" applyNumberFormats="0" applyBorderFormats="0" applyFontFormats="0" applyPatternFormats="0" applyAlignmentFormats="0" applyWidthHeightFormats="0">
  <queryTableRefresh nextId="5">
    <queryTableFields count="4">
      <queryTableField id="1" name="TableName" tableColumnId="1"/>
      <queryTableField id="2" name="session_id" tableColumnId="2"/>
      <queryTableField id="3" name="row_id" tableColumnId="3"/>
      <queryTableField id="4" name="table_path_nam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7" xr16:uid="{00000000-0016-0000-0500-000007000000}" autoFormatId="16" applyNumberFormats="0" applyBorderFormats="0" applyFontFormats="0" applyPatternFormats="0" applyAlignmentFormats="0" applyWidthHeightFormats="0">
  <queryTableRefresh nextId="12">
    <queryTableFields count="10">
      <queryTableField id="2" name="WINTYPE" tableColumnId="2"/>
      <queryTableField id="3" name="USERID" tableColumnId="3"/>
      <queryTableField id="4" name="CMPNYNAM" tableColumnId="4"/>
      <queryTableField id="5" name="BCHSOURC" tableColumnId="5"/>
      <queryTableField id="6" name="BACHNUMB" tableColumnId="6"/>
      <queryTableField id="7" name="POSTING" tableColumnId="7"/>
      <queryTableField id="8" name="TRXSOURC" tableColumnId="8"/>
      <queryTableField id="9" name="DEX_ROW_ID" tableColumnId="9"/>
      <queryTableField id="10" name="LinkToActivity" tableColumnId="1"/>
      <queryTableField id="11" name="Description" tableColumnId="1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8" xr16:uid="{00000000-0016-0000-0600-000008000000}" autoFormatId="16" applyNumberFormats="0" applyBorderFormats="0" applyFontFormats="0" applyPatternFormats="0" applyAlignmentFormats="0" applyWidthHeightFormats="0">
  <queryTableRefresh nextId="10">
    <queryTableFields count="7">
      <queryTableField id="1" name="TableName" tableColumnId="1"/>
      <queryTableField id="3" name="LastBatch" tableColumnId="3"/>
      <queryTableField id="5" name="loginName" tableColumnId="5"/>
      <queryTableField id="6" name="spid" tableColumnId="6"/>
      <queryTableField id="7" name="Cmd" tableColumnId="7"/>
      <queryTableField id="8" name="Login" tableColumnId="2"/>
      <queryTableField id="9" name="Status"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9" xr16:uid="{00000000-0016-0000-0700-000009000000}" autoFormatId="16" applyNumberFormats="0" applyBorderFormats="0" applyFontFormats="0" applyPatternFormats="0" applyAlignmentFormats="0" applyWidthHeightFormats="0">
  <queryTableRefresh nextId="12">
    <queryTableFields count="10">
      <queryTableField id="2" name="RULEID" tableColumnId="2"/>
      <queryTableField id="3" name="RSRCID" tableColumnId="3"/>
      <queryTableField id="4" name="RSRCSBID" tableColumnId="4"/>
      <queryTableField id="5" name="CMPANYID" tableColumnId="5"/>
      <queryTableField id="6" name="USERID" tableColumnId="6"/>
      <queryTableField id="7" name="RSCSTATE" tableColumnId="7"/>
      <queryTableField id="8" name="RSRDESC" tableColumnId="8"/>
      <queryTableField id="9" name="USECT" tableColumnId="9"/>
      <queryTableField id="10" name="DEX_ROW_ID" tableColumnId="10"/>
      <queryTableField id="11" name="LinkToActivity"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from DYNAMICS_GP2016" removeDataOnSave="1" connectionId="10" xr16:uid="{00000000-0016-0000-0800-00000A000000}" autoFormatId="16" applyNumberFormats="0" applyBorderFormats="0" applyFontFormats="0" applyPatternFormats="0" applyAlignmentFormats="0" applyWidthHeightFormats="0">
  <queryTableRefresh nextId="9">
    <queryTableFields count="8">
      <queryTableField id="1" name="TableName" tableColumnId="1"/>
      <queryTableField id="2" name="session_id" tableColumnId="2"/>
      <queryTableField id="3" name="sqlsvr_spid" tableColumnId="3"/>
      <queryTableField id="4" name="LinkToActivity" tableColumnId="4"/>
      <queryTableField id="5" name="USERID" tableColumnId="5"/>
      <queryTableField id="6" name="CMPNYNAM" tableColumnId="6"/>
      <queryTableField id="7" name="SQL status" tableColumnId="7"/>
      <queryTableField id="8" name="Spid_count" tableColumnId="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from Dynamics GP 2016" connectionId="11" xr16:uid="{00000000-0016-0000-0900-00000B000000}" autoFormatId="16" applyNumberFormats="0" applyBorderFormats="0" applyFontFormats="0" applyPatternFormats="0" applyAlignmentFormats="0" applyWidthHeightFormats="0">
  <queryTableRefresh nextId="7">
    <queryTableFields count="6">
      <queryTableField id="1" name="Company" tableColumnId="1"/>
      <queryTableField id="2" name="UserID" tableColumnId="2"/>
      <queryTableField id="3" name="INQYTYPE" tableColumnId="3"/>
      <queryTableField id="4" name="DATE1" tableColumnId="4"/>
      <queryTableField id="5" name="TIME1" tableColumnId="5"/>
      <queryTableField id="6" name="Description"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DashboardUsers" displayName="tblDashboardUsers" ref="D3:I4" tableType="queryTable" insertRow="1" totalsRowShown="0">
  <autoFilter ref="D3:I4" xr:uid="{A0D2B93F-98BC-46D1-9F9E-DB1D95C425C7}"/>
  <tableColumns count="6">
    <tableColumn id="1" xr3:uid="{00000000-0010-0000-0000-000001000000}" uniqueName="1" name="User Name" queryTableFieldId="1" dataDxfId="38"/>
    <tableColumn id="2" xr3:uid="{00000000-0010-0000-0000-000002000000}" uniqueName="2" name="Type" queryTableFieldId="2"/>
    <tableColumn id="3" xr3:uid="{00000000-0010-0000-0000-000003000000}" uniqueName="3" name="Status" queryTableFieldId="3"/>
    <tableColumn id="4" xr3:uid="{00000000-0010-0000-0000-000004000000}" uniqueName="4" name="Proc status" queryTableFieldId="4"/>
    <tableColumn id="5" xr3:uid="{00000000-0010-0000-0000-000005000000}" uniqueName="5" name="Company" queryTableFieldId="5"/>
    <tableColumn id="6" xr3:uid="{00000000-0010-0000-0000-000006000000}" uniqueName="6" name="Logged in at" queryTableFieldId="6"/>
  </tableColumns>
  <tableStyleInfo name="Teal strip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QuickStats" displayName="tblQuickStats" ref="A5:B11" tableType="queryTable" totalsRowShown="0">
  <autoFilter ref="A5:B11" xr:uid="{E090CB1D-45E1-4927-9351-7AFC7940018A}"/>
  <tableColumns count="2">
    <tableColumn id="1" xr3:uid="{00000000-0010-0000-0100-000001000000}" uniqueName="1" name="Stat" queryTableFieldId="1"/>
    <tableColumn id="2" xr3:uid="{00000000-0010-0000-0100-000002000000}" uniqueName="2" name="Count" queryTableFieldId="2" dataDxfId="37"/>
  </tableColumns>
  <tableStyleInfo name="Azure Strip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blDashboardSysprocesses" displayName="tblDashboardSysprocesses" ref="K3:L4" tableType="queryTable" insertRow="1" totalsRowShown="0">
  <autoFilter ref="K3:L4" xr:uid="{014B9114-9605-41E5-A075-DF7E9830619E}"/>
  <tableColumns count="2">
    <tableColumn id="1" xr3:uid="{00000000-0010-0000-0200-000001000000}" uniqueName="1" name="User Name" queryTableFieldId="1"/>
    <tableColumn id="2" xr3:uid="{00000000-0010-0000-0200-000002000000}" uniqueName="2" name="Processes" queryTableFieldId="2"/>
  </tableColumns>
  <tableStyleInfo name="Cyan strip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Users" displayName="tblUsers" ref="A3:Q4" tableType="queryTable" insertRow="1" totalsRowShown="0">
  <autoFilter ref="A3:Q4" xr:uid="{055950E8-8338-4DE4-9129-E8F16437A94C}"/>
  <tableColumns count="17">
    <tableColumn id="1" xr3:uid="{00000000-0010-0000-0300-000001000000}" uniqueName="1" name="User Name" queryTableFieldId="1"/>
    <tableColumn id="2" xr3:uid="{00000000-0010-0000-0300-000002000000}" uniqueName="2" name="Type" queryTableFieldId="2"/>
    <tableColumn id="3" xr3:uid="{00000000-0010-0000-0300-000003000000}" uniqueName="3" name="Company" queryTableFieldId="3"/>
    <tableColumn id="4" xr3:uid="{00000000-0010-0000-0300-000004000000}" uniqueName="4" name="Logged in at" queryTableFieldId="4"/>
    <tableColumn id="5" xr3:uid="{00000000-0010-0000-0300-000005000000}" uniqueName="5" name="For how long?" queryTableFieldId="5"/>
    <tableColumn id="6" xr3:uid="{00000000-0010-0000-0300-000006000000}" uniqueName="6" name="Session" queryTableFieldId="6" dataDxfId="30"/>
    <tableColumn id="7" xr3:uid="{00000000-0010-0000-0300-000007000000}" uniqueName="7" name="GP_spid" queryTableFieldId="7" dataDxfId="29"/>
    <tableColumn id="8" xr3:uid="{00000000-0010-0000-0300-000008000000}" uniqueName="8" name="Spid_count" queryTableFieldId="8" dataDxfId="28"/>
    <tableColumn id="9" xr3:uid="{00000000-0010-0000-0300-000009000000}" uniqueName="9" name="Status" queryTableFieldId="9"/>
    <tableColumn id="10" xr3:uid="{00000000-0010-0000-0300-00000A000000}" uniqueName="10" name="Proc status" queryTableFieldId="10"/>
    <tableColumn id="11" xr3:uid="{00000000-0010-0000-0300-00000B000000}" uniqueName="11" name="Last" queryTableFieldId="11"/>
    <tableColumn id="12" xr3:uid="{00000000-0010-0000-0300-00000C000000}" uniqueName="12" name="Mins." queryTableFieldId="12" dataDxfId="27"/>
    <tableColumn id="13" xr3:uid="{00000000-0010-0000-0300-00000D000000}" uniqueName="13" name="2nd Last" queryTableFieldId="13"/>
    <tableColumn id="14" xr3:uid="{00000000-0010-0000-0300-00000E000000}" uniqueName="14" name="Mins. 2nd" queryTableFieldId="14" dataDxfId="26"/>
    <tableColumn id="15" xr3:uid="{00000000-0010-0000-0300-00000F000000}" uniqueName="15" name="B" queryTableFieldId="15"/>
    <tableColumn id="16" xr3:uid="{00000000-0010-0000-0300-000010000000}" uniqueName="16" name="R" queryTableFieldId="16"/>
    <tableColumn id="17" xr3:uid="{00000000-0010-0000-0300-000011000000}" uniqueName="17" name="T" queryTableFieldId="17"/>
  </tableColumns>
  <tableStyleInfo name="Teal strip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Batches" displayName="tblBatches" ref="A3:M4" tableType="queryTable" insertRow="1" totalsRowShown="0">
  <autoFilter ref="A3:M4" xr:uid="{75993498-2993-4936-91D8-D33A72531A82}"/>
  <tableColumns count="13">
    <tableColumn id="1" xr3:uid="{00000000-0010-0000-0400-000001000000}" uniqueName="1" name="TableName" queryTableFieldId="1"/>
    <tableColumn id="2" xr3:uid="{00000000-0010-0000-0400-000002000000}" uniqueName="2" name="BatchSource" queryTableFieldId="2"/>
    <tableColumn id="3" xr3:uid="{00000000-0010-0000-0400-000003000000}" uniqueName="3" name="Batch#" queryTableFieldId="3"/>
    <tableColumn id="4" xr3:uid="{00000000-0010-0000-0400-000004000000}" uniqueName="4" name="SERIES" queryTableFieldId="4"/>
    <tableColumn id="5" xr3:uid="{00000000-0010-0000-0400-000005000000}" uniqueName="5" name="MKDTOPST" queryTableFieldId="5"/>
    <tableColumn id="6" xr3:uid="{00000000-0010-0000-0400-000006000000}" uniqueName="6" name="NUMOFTRX" queryTableFieldId="6"/>
    <tableColumn id="7" xr3:uid="{00000000-0010-0000-0400-000007000000}" uniqueName="7" name="BACHFREQ" queryTableFieldId="7"/>
    <tableColumn id="8" xr3:uid="{00000000-0010-0000-0400-000008000000}" uniqueName="8" name="BCHCOMNT" queryTableFieldId="8"/>
    <tableColumn id="9" xr3:uid="{00000000-0010-0000-0400-000009000000}" uniqueName="9" name="BCHTOTAL" queryTableFieldId="9" dataDxfId="21" dataCellStyle="Comma"/>
    <tableColumn id="10" xr3:uid="{00000000-0010-0000-0400-00000A000000}" uniqueName="10" name="CREATDDT" queryTableFieldId="10" dataDxfId="20"/>
    <tableColumn id="11" xr3:uid="{00000000-0010-0000-0400-00000B000000}" uniqueName="11" name="BCHSTTUS" queryTableFieldId="11"/>
    <tableColumn id="12" xr3:uid="{00000000-0010-0000-0400-00000C000000}" uniqueName="12" name="BatchStatusDescription" queryTableFieldId="12"/>
    <tableColumn id="13" xr3:uid="{00000000-0010-0000-0400-00000D000000}" uniqueName="13" name="TRXSORCE" queryTableFieldId="13"/>
  </tableColumns>
  <tableStyleInfo name="Spring strip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blLocksInUse" displayName="tblLocksInUse" ref="A3:D4" tableType="queryTable" insertRow="1" totalsRowShown="0">
  <autoFilter ref="A3:D4" xr:uid="{5D1E0E2B-E8AE-4BFF-8F94-A010809E0D48}"/>
  <tableColumns count="4">
    <tableColumn id="1" xr3:uid="{00000000-0010-0000-0500-000001000000}" uniqueName="1" name="UserID" queryTableFieldId="1"/>
    <tableColumn id="2" xr3:uid="{00000000-0010-0000-0500-000002000000}" uniqueName="2" name="DocNo Locked" queryTableFieldId="2"/>
    <tableColumn id="3" xr3:uid="{00000000-0010-0000-0500-000003000000}" uniqueName="3" name="LoginDate" queryTableFieldId="3" dataDxfId="19"/>
    <tableColumn id="4" xr3:uid="{00000000-0010-0000-0500-000004000000}" uniqueName="4" name="table_path_name" queryTableFieldId="4"/>
  </tableColumns>
  <tableStyleInfo name="Orange strip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LocksOrphans" displayName="tblLocksOrphans" ref="A3:D4" tableType="queryTable" insertRow="1" totalsRowShown="0">
  <autoFilter ref="A3:D4" xr:uid="{A57CB8C5-8B0C-41D7-9C96-F3203BBD1B4C}"/>
  <tableColumns count="4">
    <tableColumn id="1" xr3:uid="{00000000-0010-0000-0600-000001000000}" uniqueName="1" name="TableName" queryTableFieldId="1"/>
    <tableColumn id="2" xr3:uid="{00000000-0010-0000-0600-000002000000}" uniqueName="2" name="session_id" queryTableFieldId="2"/>
    <tableColumn id="3" xr3:uid="{00000000-0010-0000-0600-000003000000}" uniqueName="3" name="row_id" queryTableFieldId="3"/>
    <tableColumn id="4" xr3:uid="{00000000-0010-0000-0600-000004000000}" uniqueName="4" name="table_path_name" queryTableFieldId="4"/>
  </tableColumns>
  <tableStyleInfo name="Pink strip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OpenTables" displayName="tblOpenTables" ref="A3:J4" tableType="queryTable" insertRow="1" totalsRowShown="0">
  <autoFilter ref="A3:J4" xr:uid="{8B65BC11-91D0-4DA0-89CA-645C8D5F3C2B}"/>
  <tableColumns count="10">
    <tableColumn id="2" xr3:uid="{00000000-0010-0000-0700-000002000000}" uniqueName="2" name="WINTYPE" queryTableFieldId="2"/>
    <tableColumn id="3" xr3:uid="{00000000-0010-0000-0700-000003000000}" uniqueName="3" name="USERID" queryTableFieldId="3"/>
    <tableColumn id="4" xr3:uid="{00000000-0010-0000-0700-000004000000}" uniqueName="4" name="CMPNYNAM" queryTableFieldId="4"/>
    <tableColumn id="5" xr3:uid="{00000000-0010-0000-0700-000005000000}" uniqueName="5" name="BCHSOURC" queryTableFieldId="5"/>
    <tableColumn id="6" xr3:uid="{00000000-0010-0000-0700-000006000000}" uniqueName="6" name="BACHNUMB" queryTableFieldId="6"/>
    <tableColumn id="7" xr3:uid="{00000000-0010-0000-0700-000007000000}" uniqueName="7" name="POSTING" queryTableFieldId="7"/>
    <tableColumn id="8" xr3:uid="{00000000-0010-0000-0700-000008000000}" uniqueName="8" name="TRXSOURC" queryTableFieldId="8"/>
    <tableColumn id="9" xr3:uid="{00000000-0010-0000-0700-000009000000}" uniqueName="9" name="DEX_ROW_ID" queryTableFieldId="9"/>
    <tableColumn id="1" xr3:uid="{00000000-0010-0000-0700-000001000000}" uniqueName="1" name="LinkToActivity" queryTableFieldId="10" dataDxfId="16"/>
    <tableColumn id="10" xr3:uid="{00000000-0010-0000-0700-00000A000000}" uniqueName="10" name="Description" queryTableFieldId="11" dataDxfId="15"/>
  </tableColumns>
  <tableStyleInfo name="Violet strip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blSysProcesses" displayName="tblSysProcesses" ref="A3:G4" tableType="queryTable" insertRow="1" totalsRowShown="0">
  <autoFilter ref="A3:G4" xr:uid="{38D02AEA-103E-40E7-9782-FAC91722A474}"/>
  <tableColumns count="7">
    <tableColumn id="1" xr3:uid="{00000000-0010-0000-0800-000001000000}" uniqueName="1" name="TableName" queryTableFieldId="1"/>
    <tableColumn id="3" xr3:uid="{00000000-0010-0000-0800-000003000000}" uniqueName="3" name="LastBatch" queryTableFieldId="3"/>
    <tableColumn id="5" xr3:uid="{00000000-0010-0000-0800-000005000000}" uniqueName="5" name="loginName" queryTableFieldId="5"/>
    <tableColumn id="6" xr3:uid="{00000000-0010-0000-0800-000006000000}" uniqueName="6" name="spid" queryTableFieldId="6"/>
    <tableColumn id="7" xr3:uid="{00000000-0010-0000-0800-000007000000}" uniqueName="7" name="Cmd" queryTableFieldId="7"/>
    <tableColumn id="2" xr3:uid="{00000000-0010-0000-0800-000002000000}" uniqueName="2" name="Login" queryTableFieldId="8"/>
    <tableColumn id="4" xr3:uid="{00000000-0010-0000-0800-000004000000}" uniqueName="4" name="Status" queryTableFieldId="9"/>
  </tableColumns>
  <tableStyleInfo name="Cyan strip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tblOpenResources" displayName="tblOpenResources" ref="A3:J4" tableType="queryTable" insertRow="1" totalsRowShown="0">
  <autoFilter ref="A3:J4" xr:uid="{00B013B8-C46A-4C1B-963F-4ED2AD037A4A}"/>
  <tableColumns count="10">
    <tableColumn id="2" xr3:uid="{00000000-0010-0000-0900-000002000000}" uniqueName="2" name="RULEID" queryTableFieldId="2"/>
    <tableColumn id="3" xr3:uid="{00000000-0010-0000-0900-000003000000}" uniqueName="3" name="RSRCID" queryTableFieldId="3"/>
    <tableColumn id="4" xr3:uid="{00000000-0010-0000-0900-000004000000}" uniqueName="4" name="RSRCSBID" queryTableFieldId="4"/>
    <tableColumn id="5" xr3:uid="{00000000-0010-0000-0900-000005000000}" uniqueName="5" name="CMPANYID" queryTableFieldId="5"/>
    <tableColumn id="6" xr3:uid="{00000000-0010-0000-0900-000006000000}" uniqueName="6" name="USERID" queryTableFieldId="6"/>
    <tableColumn id="7" xr3:uid="{00000000-0010-0000-0900-000007000000}" uniqueName="7" name="RSCSTATE" queryTableFieldId="7"/>
    <tableColumn id="8" xr3:uid="{00000000-0010-0000-0900-000008000000}" uniqueName="8" name="RSRDESC" queryTableFieldId="8"/>
    <tableColumn id="9" xr3:uid="{00000000-0010-0000-0900-000009000000}" uniqueName="9" name="USECT" queryTableFieldId="9"/>
    <tableColumn id="10" xr3:uid="{00000000-0010-0000-0900-00000A000000}" uniqueName="10" name="DEX_ROW_ID" queryTableFieldId="10"/>
    <tableColumn id="1" xr3:uid="{00000000-0010-0000-0900-000001000000}" uniqueName="1" name="LinkToActivity" queryTableFieldId="11" dataDxfId="13"/>
  </tableColumns>
  <tableStyleInfo name="Green strip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tblSessions" displayName="tblSessions" ref="A3:H4" tableType="queryTable" insertRow="1" totalsRowShown="0">
  <autoFilter ref="A3:H4" xr:uid="{124A3617-3667-4E72-BD89-59C426CCD892}"/>
  <tableColumns count="8">
    <tableColumn id="1" xr3:uid="{00000000-0010-0000-0A00-000001000000}" uniqueName="1" name="TableName" queryTableFieldId="1"/>
    <tableColumn id="2" xr3:uid="{00000000-0010-0000-0A00-000002000000}" uniqueName="2" name="session_id" queryTableFieldId="2"/>
    <tableColumn id="3" xr3:uid="{00000000-0010-0000-0A00-000003000000}" uniqueName="3" name="sqlsvr_spid" queryTableFieldId="3"/>
    <tableColumn id="4" xr3:uid="{00000000-0010-0000-0A00-000004000000}" uniqueName="4" name="LinkToActivity" queryTableFieldId="4" dataDxfId="6"/>
    <tableColumn id="5" xr3:uid="{00000000-0010-0000-0A00-000005000000}" uniqueName="5" name="USERID" queryTableFieldId="5" dataDxfId="5"/>
    <tableColumn id="6" xr3:uid="{00000000-0010-0000-0A00-000006000000}" uniqueName="6" name="CMPNYNAM" queryTableFieldId="6" dataDxfId="4"/>
    <tableColumn id="7" xr3:uid="{00000000-0010-0000-0A00-000007000000}" uniqueName="7" name="SQL status" queryTableFieldId="7" dataDxfId="3"/>
    <tableColumn id="8" xr3:uid="{00000000-0010-0000-0A00-000008000000}" uniqueName="8" name="Spid_count" queryTableFieldId="8" dataDxfId="2"/>
  </tableColumns>
  <tableStyleInfo name="Blue strip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_Query_from_Dynamics_GP_2016" displayName="Table_Query_from_Dynamics_GP_2016" ref="A3:F4" tableType="queryTable" insertRow="1" totalsRowShown="0">
  <autoFilter ref="A3:F4" xr:uid="{AC1CC095-E20E-4545-8AD1-FCE5E9B09C36}"/>
  <sortState ref="A4:F4">
    <sortCondition descending="1" ref="D3:D4"/>
  </sortState>
  <tableColumns count="6">
    <tableColumn id="1" xr3:uid="{00000000-0010-0000-0B00-000001000000}" uniqueName="1" name="Company" queryTableFieldId="1"/>
    <tableColumn id="2" xr3:uid="{00000000-0010-0000-0B00-000002000000}" uniqueName="2" name="UserID" queryTableFieldId="2"/>
    <tableColumn id="3" xr3:uid="{00000000-0010-0000-0B00-000003000000}" uniqueName="3" name="INQYTYPE" queryTableFieldId="3"/>
    <tableColumn id="4" xr3:uid="{00000000-0010-0000-0B00-000004000000}" uniqueName="4" name="DATE1" queryTableFieldId="4" dataDxfId="1"/>
    <tableColumn id="5" xr3:uid="{00000000-0010-0000-0B00-000005000000}" uniqueName="5" name="TIME1" queryTableFieldId="5" dataDxfId="0"/>
    <tableColumn id="6" xr3:uid="{00000000-0010-0000-0B00-000006000000}" uniqueName="6" name="Description" queryTableField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8.xml"/><Relationship Id="rId4" Type="http://schemas.openxmlformats.org/officeDocument/2006/relationships/image" Target="../media/image3.emf"/></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image" Target="../media/image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1.xml"/><Relationship Id="rId4" Type="http://schemas.openxmlformats.org/officeDocument/2006/relationships/image" Target="../media/image5.emf"/></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0.emf"/><Relationship Id="rId3" Type="http://schemas.openxmlformats.org/officeDocument/2006/relationships/vmlDrawing" Target="../drawings/vmlDrawing6.vml"/><Relationship Id="rId7" Type="http://schemas.openxmlformats.org/officeDocument/2006/relationships/image" Target="../media/image7.emf"/><Relationship Id="rId12" Type="http://schemas.openxmlformats.org/officeDocument/2006/relationships/control" Target="../activeX/activeX10.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99FF"/>
  </sheetPr>
  <dimension ref="A1:Q17"/>
  <sheetViews>
    <sheetView showGridLines="0" workbookViewId="0"/>
  </sheetViews>
  <sheetFormatPr defaultRowHeight="15"/>
  <cols>
    <col min="1" max="1" width="20.28515625" bestFit="1" customWidth="1"/>
    <col min="2" max="2" width="8.5703125" bestFit="1" customWidth="1"/>
    <col min="3" max="3" width="2.140625" customWidth="1"/>
    <col min="4" max="4" width="20.85546875" bestFit="1" customWidth="1"/>
    <col min="5" max="5" width="7.5703125" bestFit="1" customWidth="1"/>
    <col min="6" max="6" width="8.7109375" bestFit="1" customWidth="1"/>
    <col min="7" max="7" width="12.85546875" bestFit="1" customWidth="1"/>
    <col min="8" max="8" width="16.5703125" bestFit="1" customWidth="1"/>
    <col min="9" max="9" width="15.7109375" bestFit="1" customWidth="1"/>
    <col min="10" max="10" width="2.42578125" customWidth="1"/>
    <col min="11" max="11" width="21" bestFit="1" customWidth="1"/>
    <col min="12" max="12" width="12" bestFit="1" customWidth="1"/>
    <col min="13" max="13" width="4.140625" customWidth="1"/>
  </cols>
  <sheetData>
    <row r="1" spans="1:17" ht="24.75">
      <c r="A1" s="4" t="str">
        <f>IF(SUM(tblQuickStats[Count])-SUMIF(tblQuickStats[Stat],"Processes",tblQuickStats[Count])&gt;0, IF(SUMIF(tblQuickStats[Stat],"Sessions/Orphans",tblQuickStats[Count])&lt;&gt;INT(SUMIF(tblQuickStats[Stat],"Sessions/Orphans",tblQuickStats[Count])),"!","*")," ")</f>
        <v xml:space="preserve"> </v>
      </c>
      <c r="B1" s="4" t="str">
        <f>IF(COUNTIF(tblDashboardUsers[Status],"No SQL session")&gt;0,"!",IF(AND(COUNTIF(tblDashboardUsers[Proc status],"No match")&gt;0,COUNTIF(tblDashboardUsers[Status],"No SQL session")=0),"?"," "))</f>
        <v xml:space="preserve"> </v>
      </c>
      <c r="D1" s="43" t="s">
        <v>90</v>
      </c>
      <c r="E1" s="43"/>
      <c r="F1" s="21"/>
      <c r="G1" s="21"/>
      <c r="H1" s="21"/>
      <c r="I1" s="21"/>
      <c r="K1" s="42" t="s">
        <v>5</v>
      </c>
      <c r="L1" s="42"/>
    </row>
    <row r="2" spans="1:17" ht="15" customHeight="1">
      <c r="A2" s="8" t="s">
        <v>9</v>
      </c>
      <c r="B2" s="8" t="s">
        <v>80</v>
      </c>
      <c r="D2" s="44">
        <f ca="1">NOW()</f>
        <v>43475.228148263886</v>
      </c>
      <c r="E2" s="44"/>
      <c r="F2" s="3"/>
      <c r="N2" s="39" t="s">
        <v>88</v>
      </c>
      <c r="O2" s="39"/>
      <c r="P2" s="39"/>
      <c r="Q2" s="39"/>
    </row>
    <row r="3" spans="1:17" ht="18">
      <c r="A3" s="42" t="s">
        <v>4</v>
      </c>
      <c r="B3" s="42"/>
      <c r="D3" t="s">
        <v>13</v>
      </c>
      <c r="E3" t="s">
        <v>14</v>
      </c>
      <c r="F3" t="s">
        <v>21</v>
      </c>
      <c r="G3" t="s">
        <v>22</v>
      </c>
      <c r="H3" t="s">
        <v>15</v>
      </c>
      <c r="I3" t="s">
        <v>16</v>
      </c>
      <c r="K3" s="5" t="s">
        <v>13</v>
      </c>
      <c r="L3" s="5" t="s">
        <v>40</v>
      </c>
      <c r="N3" s="39"/>
      <c r="O3" s="39"/>
      <c r="P3" s="39"/>
      <c r="Q3" s="39"/>
    </row>
    <row r="4" spans="1:17" ht="18.75">
      <c r="B4" s="3"/>
      <c r="D4" s="1"/>
      <c r="N4" s="39"/>
      <c r="O4" s="39"/>
      <c r="P4" s="39"/>
      <c r="Q4" s="39"/>
    </row>
    <row r="5" spans="1:17">
      <c r="A5" t="s">
        <v>41</v>
      </c>
      <c r="B5" t="s">
        <v>42</v>
      </c>
      <c r="N5" s="39"/>
      <c r="O5" s="39"/>
      <c r="P5" s="39"/>
      <c r="Q5" s="39"/>
    </row>
    <row r="6" spans="1:17">
      <c r="A6" t="s">
        <v>43</v>
      </c>
      <c r="B6" s="13">
        <v>0</v>
      </c>
      <c r="N6" s="39"/>
      <c r="O6" s="39"/>
      <c r="P6" s="39"/>
      <c r="Q6" s="39"/>
    </row>
    <row r="7" spans="1:17">
      <c r="A7" t="s">
        <v>82</v>
      </c>
      <c r="B7" s="13">
        <v>0</v>
      </c>
      <c r="N7" s="39"/>
      <c r="O7" s="39"/>
      <c r="P7" s="39"/>
      <c r="Q7" s="39"/>
    </row>
    <row r="8" spans="1:17">
      <c r="A8" t="s">
        <v>44</v>
      </c>
      <c r="B8" s="13">
        <v>0</v>
      </c>
      <c r="N8" s="39"/>
      <c r="O8" s="39"/>
      <c r="P8" s="39"/>
      <c r="Q8" s="39"/>
    </row>
    <row r="9" spans="1:17">
      <c r="A9" t="s">
        <v>40</v>
      </c>
      <c r="B9" s="13">
        <v>0</v>
      </c>
      <c r="N9" s="39"/>
      <c r="O9" s="39"/>
      <c r="P9" s="39"/>
      <c r="Q9" s="39"/>
    </row>
    <row r="10" spans="1:17">
      <c r="A10" t="s">
        <v>45</v>
      </c>
      <c r="B10" s="13">
        <v>0</v>
      </c>
      <c r="N10" s="39"/>
      <c r="O10" s="39"/>
      <c r="P10" s="39"/>
      <c r="Q10" s="39"/>
    </row>
    <row r="11" spans="1:17">
      <c r="A11" t="s">
        <v>46</v>
      </c>
      <c r="B11" s="13">
        <v>0</v>
      </c>
      <c r="N11" s="40" t="s">
        <v>91</v>
      </c>
      <c r="O11" s="40"/>
      <c r="P11" s="40"/>
      <c r="Q11" s="40"/>
    </row>
    <row r="12" spans="1:17">
      <c r="N12" s="40"/>
      <c r="O12" s="40"/>
      <c r="P12" s="40"/>
      <c r="Q12" s="40"/>
    </row>
    <row r="13" spans="1:17">
      <c r="A13" s="14" t="s">
        <v>10</v>
      </c>
      <c r="N13" s="40"/>
      <c r="O13" s="40"/>
      <c r="P13" s="40"/>
      <c r="Q13" s="40"/>
    </row>
    <row r="14" spans="1:17">
      <c r="A14" s="41" t="s">
        <v>11</v>
      </c>
      <c r="B14" s="41"/>
      <c r="N14" s="40"/>
      <c r="O14" s="40"/>
      <c r="P14" s="40"/>
      <c r="Q14" s="40"/>
    </row>
    <row r="15" spans="1:17">
      <c r="A15" s="41" t="s">
        <v>12</v>
      </c>
      <c r="B15" s="41"/>
      <c r="N15" s="40"/>
      <c r="O15" s="40"/>
      <c r="P15" s="40"/>
      <c r="Q15" s="40"/>
    </row>
    <row r="16" spans="1:17">
      <c r="N16" s="40"/>
      <c r="O16" s="40"/>
      <c r="P16" s="40"/>
      <c r="Q16" s="40"/>
    </row>
    <row r="17" spans="14:17">
      <c r="N17" s="40"/>
      <c r="O17" s="40"/>
      <c r="P17" s="40"/>
      <c r="Q17" s="40"/>
    </row>
  </sheetData>
  <mergeCells count="8">
    <mergeCell ref="N2:Q10"/>
    <mergeCell ref="N11:Q17"/>
    <mergeCell ref="A15:B15"/>
    <mergeCell ref="A3:B3"/>
    <mergeCell ref="K1:L1"/>
    <mergeCell ref="D1:E1"/>
    <mergeCell ref="D2:E2"/>
    <mergeCell ref="A14:B14"/>
  </mergeCells>
  <conditionalFormatting sqref="B4">
    <cfRule type="cellIs" dxfId="51" priority="23" operator="equal">
      <formula>" "</formula>
    </cfRule>
    <cfRule type="cellIs" dxfId="50" priority="25" operator="equal">
      <formula>"!"</formula>
    </cfRule>
  </conditionalFormatting>
  <conditionalFormatting sqref="F2">
    <cfRule type="cellIs" dxfId="49" priority="21" operator="equal">
      <formula>" "</formula>
    </cfRule>
    <cfRule type="cellIs" dxfId="48" priority="22" operator="equal">
      <formula>"!"</formula>
    </cfRule>
  </conditionalFormatting>
  <conditionalFormatting sqref="A1">
    <cfRule type="cellIs" dxfId="47" priority="16" operator="equal">
      <formula>"*"</formula>
    </cfRule>
    <cfRule type="cellIs" dxfId="46" priority="19" operator="equal">
      <formula>" "</formula>
    </cfRule>
    <cfRule type="cellIs" dxfId="45" priority="20" operator="equal">
      <formula>"!"</formula>
    </cfRule>
  </conditionalFormatting>
  <conditionalFormatting sqref="B1">
    <cfRule type="cellIs" dxfId="44" priority="8" operator="equal">
      <formula>"?"</formula>
    </cfRule>
    <cfRule type="cellIs" dxfId="43" priority="17" operator="equal">
      <formula>" "</formula>
    </cfRule>
    <cfRule type="cellIs" dxfId="42" priority="18" operator="equal">
      <formula>"!"</formula>
    </cfRule>
  </conditionalFormatting>
  <conditionalFormatting sqref="B6:B11">
    <cfRule type="expression" dxfId="41" priority="11">
      <formula>B6&lt;&gt;INT(B6)</formula>
    </cfRule>
  </conditionalFormatting>
  <conditionalFormatting sqref="F3:F4">
    <cfRule type="cellIs" dxfId="40" priority="10" operator="equal">
      <formula>"No SQL session"</formula>
    </cfRule>
  </conditionalFormatting>
  <conditionalFormatting sqref="G3:G4">
    <cfRule type="cellIs" dxfId="39" priority="9" operator="equal">
      <formula>"No match"</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RemoveSQLOrphans">
          <controlPr defaultSize="0" autoLine="0" autoPict="0" r:id="rId5">
            <anchor moveWithCells="1">
              <from>
                <xdr:col>6</xdr:col>
                <xdr:colOff>142875</xdr:colOff>
                <xdr:row>0</xdr:row>
                <xdr:rowOff>57150</xdr:rowOff>
              </from>
              <to>
                <xdr:col>7</xdr:col>
                <xdr:colOff>695325</xdr:colOff>
                <xdr:row>1</xdr:row>
                <xdr:rowOff>104775</xdr:rowOff>
              </to>
            </anchor>
          </controlPr>
        </control>
      </mc:Choice>
      <mc:Fallback>
        <control shapeId="1025" r:id="rId4" name="cmdRemoveSQLOrphans"/>
      </mc:Fallback>
    </mc:AlternateContent>
  </controls>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99"/>
  </sheetPr>
  <dimension ref="A1:Q4"/>
  <sheetViews>
    <sheetView showGridLines="0" workbookViewId="0">
      <selection sqref="A1:E1"/>
    </sheetView>
  </sheetViews>
  <sheetFormatPr defaultRowHeight="15"/>
  <cols>
    <col min="1" max="1" width="16" bestFit="1" customWidth="1"/>
    <col min="2" max="2" width="7.5703125" bestFit="1" customWidth="1"/>
    <col min="3" max="3" width="16.42578125" bestFit="1" customWidth="1"/>
    <col min="4" max="4" width="15.5703125" bestFit="1" customWidth="1"/>
    <col min="5" max="5" width="19" bestFit="1" customWidth="1"/>
    <col min="6" max="6" width="10" bestFit="1" customWidth="1"/>
    <col min="7" max="7" width="10.5703125" bestFit="1" customWidth="1"/>
    <col min="8" max="8" width="13.140625" bestFit="1" customWidth="1"/>
    <col min="9" max="9" width="8.7109375" bestFit="1" customWidth="1"/>
    <col min="10" max="10" width="12.85546875" bestFit="1" customWidth="1"/>
    <col min="11" max="11" width="7.85546875" bestFit="1" customWidth="1"/>
    <col min="12" max="12" width="8.28515625" bestFit="1" customWidth="1"/>
    <col min="13" max="13" width="10.42578125" bestFit="1" customWidth="1"/>
    <col min="14" max="14" width="12" bestFit="1" customWidth="1"/>
    <col min="15" max="16" width="4.42578125" bestFit="1" customWidth="1"/>
    <col min="17" max="17" width="4.28515625" bestFit="1" customWidth="1"/>
  </cols>
  <sheetData>
    <row r="1" spans="1:17" ht="18">
      <c r="A1" s="45" t="s">
        <v>0</v>
      </c>
      <c r="B1" s="45"/>
      <c r="C1" s="45"/>
      <c r="D1" s="45"/>
      <c r="E1" s="45"/>
      <c r="F1" s="20"/>
      <c r="G1" s="20"/>
      <c r="H1" s="20"/>
      <c r="I1" s="20"/>
      <c r="J1" s="20"/>
      <c r="K1" s="20"/>
      <c r="L1" s="20"/>
      <c r="M1" s="20"/>
      <c r="N1" s="20"/>
      <c r="O1" s="20"/>
      <c r="P1" s="20"/>
      <c r="Q1" s="20"/>
    </row>
    <row r="3" spans="1:17">
      <c r="A3" t="s">
        <v>13</v>
      </c>
      <c r="B3" t="s">
        <v>14</v>
      </c>
      <c r="C3" t="s">
        <v>15</v>
      </c>
      <c r="D3" t="s">
        <v>16</v>
      </c>
      <c r="E3" t="s">
        <v>17</v>
      </c>
      <c r="F3" t="s">
        <v>18</v>
      </c>
      <c r="G3" t="s">
        <v>19</v>
      </c>
      <c r="H3" t="s">
        <v>20</v>
      </c>
      <c r="I3" t="s">
        <v>21</v>
      </c>
      <c r="J3" t="s">
        <v>22</v>
      </c>
      <c r="K3" t="s">
        <v>23</v>
      </c>
      <c r="L3" t="s">
        <v>24</v>
      </c>
      <c r="M3" t="s">
        <v>25</v>
      </c>
      <c r="N3" t="s">
        <v>26</v>
      </c>
      <c r="O3" t="s">
        <v>27</v>
      </c>
      <c r="P3" t="s">
        <v>28</v>
      </c>
      <c r="Q3" t="s">
        <v>29</v>
      </c>
    </row>
    <row r="4" spans="1:17">
      <c r="F4" s="11"/>
      <c r="G4" s="11"/>
      <c r="H4" s="11"/>
      <c r="L4" s="11"/>
      <c r="N4" s="11"/>
    </row>
  </sheetData>
  <mergeCells count="1">
    <mergeCell ref="A1:E1"/>
  </mergeCells>
  <conditionalFormatting sqref="I3:I4">
    <cfRule type="cellIs" dxfId="36" priority="3" operator="equal">
      <formula>"No SQL session"</formula>
    </cfRule>
    <cfRule type="cellIs" dxfId="35" priority="6" operator="equal">
      <formula>"No match"</formula>
    </cfRule>
  </conditionalFormatting>
  <conditionalFormatting sqref="J3:J4">
    <cfRule type="cellIs" dxfId="34" priority="4" operator="equal">
      <formula>"No match"</formula>
    </cfRule>
    <cfRule type="cellIs" dxfId="33" priority="5" operator="equal">
      <formula>"No SQL session"</formula>
    </cfRule>
  </conditionalFormatting>
  <conditionalFormatting sqref="G3:G4">
    <cfRule type="cellIs" dxfId="32" priority="2" operator="lessThan">
      <formula>1</formula>
    </cfRule>
  </conditionalFormatting>
  <conditionalFormatting sqref="H3:H4">
    <cfRule type="cellIs" dxfId="31" priority="1" operator="equal">
      <formula>0</formula>
    </cfRule>
  </conditionalFormatting>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99FF00"/>
  </sheetPr>
  <dimension ref="A1:M4"/>
  <sheetViews>
    <sheetView showGridLines="0" workbookViewId="0">
      <selection sqref="A1:H1"/>
    </sheetView>
  </sheetViews>
  <sheetFormatPr defaultRowHeight="15"/>
  <cols>
    <col min="1" max="1" width="13.42578125" bestFit="1" customWidth="1"/>
    <col min="2" max="2" width="14.140625" bestFit="1" customWidth="1"/>
    <col min="3" max="3" width="9.140625" bestFit="1" customWidth="1"/>
    <col min="4" max="4" width="9" bestFit="1" customWidth="1"/>
    <col min="5" max="5" width="13.140625" bestFit="1" customWidth="1"/>
    <col min="6" max="6" width="13.7109375" bestFit="1" customWidth="1"/>
    <col min="7" max="7" width="12.7109375" bestFit="1" customWidth="1"/>
    <col min="8" max="8" width="13.7109375" bestFit="1" customWidth="1"/>
    <col min="9" max="10" width="12.42578125" bestFit="1" customWidth="1"/>
    <col min="11" max="11" width="12.28515625" bestFit="1" customWidth="1"/>
    <col min="12" max="12" width="24.140625" bestFit="1" customWidth="1"/>
    <col min="13" max="13" width="12.28515625" bestFit="1" customWidth="1"/>
  </cols>
  <sheetData>
    <row r="1" spans="1:13" ht="18">
      <c r="A1" s="46" t="s">
        <v>1</v>
      </c>
      <c r="B1" s="46"/>
      <c r="C1" s="46"/>
      <c r="D1" s="46"/>
      <c r="E1" s="46"/>
      <c r="F1" s="46"/>
      <c r="G1" s="46"/>
      <c r="H1" s="46"/>
      <c r="I1" s="19"/>
      <c r="J1" s="19"/>
      <c r="K1" s="19"/>
      <c r="L1" s="19"/>
      <c r="M1" s="19"/>
    </row>
    <row r="3" spans="1:13">
      <c r="A3" t="s">
        <v>47</v>
      </c>
      <c r="B3" t="s">
        <v>48</v>
      </c>
      <c r="C3" t="s">
        <v>49</v>
      </c>
      <c r="D3" t="s">
        <v>50</v>
      </c>
      <c r="E3" t="s">
        <v>51</v>
      </c>
      <c r="F3" t="s">
        <v>52</v>
      </c>
      <c r="G3" t="s">
        <v>53</v>
      </c>
      <c r="H3" t="s">
        <v>54</v>
      </c>
      <c r="I3" t="s">
        <v>55</v>
      </c>
      <c r="J3" t="s">
        <v>56</v>
      </c>
      <c r="K3" t="s">
        <v>57</v>
      </c>
      <c r="L3" t="s">
        <v>58</v>
      </c>
      <c r="M3" t="s">
        <v>83</v>
      </c>
    </row>
    <row r="4" spans="1:13">
      <c r="I4" s="10"/>
      <c r="J4" s="9"/>
    </row>
  </sheetData>
  <mergeCells count="1">
    <mergeCell ref="A1:H1"/>
  </mergeCells>
  <conditionalFormatting sqref="K3:K4">
    <cfRule type="cellIs" dxfId="25" priority="1" operator="greaterThan">
      <formula>99</formula>
    </cfRule>
    <cfRule type="cellIs" dxfId="24" priority="2" operator="between">
      <formula>7</formula>
      <formula>99</formula>
    </cfRule>
    <cfRule type="cellIs" dxfId="23" priority="3" operator="between">
      <formula>3</formula>
      <formula>6</formula>
    </cfRule>
    <cfRule type="cellIs" dxfId="22" priority="4" operator="between">
      <formula>0</formula>
      <formula>2</formula>
    </cfRule>
  </conditionalFormatting>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9900"/>
  </sheetPr>
  <dimension ref="A1:D4"/>
  <sheetViews>
    <sheetView workbookViewId="0">
      <selection sqref="A1:C1"/>
    </sheetView>
  </sheetViews>
  <sheetFormatPr defaultRowHeight="15"/>
  <cols>
    <col min="1" max="1" width="9.28515625" bestFit="1" customWidth="1"/>
    <col min="2" max="2" width="18.85546875" bestFit="1" customWidth="1"/>
    <col min="3" max="3" width="13.85546875" bestFit="1" customWidth="1"/>
    <col min="4" max="4" width="19" bestFit="1" customWidth="1"/>
  </cols>
  <sheetData>
    <row r="1" spans="1:4" ht="18">
      <c r="A1" s="47" t="s">
        <v>6</v>
      </c>
      <c r="B1" s="47"/>
      <c r="C1" s="47"/>
      <c r="D1" s="18"/>
    </row>
    <row r="3" spans="1:4">
      <c r="A3" t="s">
        <v>59</v>
      </c>
      <c r="B3" t="s">
        <v>60</v>
      </c>
      <c r="C3" t="s">
        <v>61</v>
      </c>
      <c r="D3" t="s">
        <v>62</v>
      </c>
    </row>
    <row r="4" spans="1:4">
      <c r="C4" s="2"/>
    </row>
  </sheetData>
  <mergeCells count="1">
    <mergeCell ref="A1:C1"/>
  </mergeCell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66CC"/>
  </sheetPr>
  <dimension ref="A1:I3"/>
  <sheetViews>
    <sheetView showGridLines="0" workbookViewId="0">
      <selection sqref="A1:D1"/>
    </sheetView>
  </sheetViews>
  <sheetFormatPr defaultRowHeight="15"/>
  <cols>
    <col min="1" max="1" width="13.42578125" bestFit="1" customWidth="1"/>
    <col min="2" max="2" width="12.5703125" bestFit="1" customWidth="1"/>
    <col min="3" max="3" width="9.42578125" bestFit="1" customWidth="1"/>
    <col min="4" max="4" width="19" bestFit="1" customWidth="1"/>
    <col min="6" max="6" width="13.42578125" customWidth="1"/>
    <col min="7" max="7" width="12.5703125" customWidth="1"/>
    <col min="8" max="8" width="9.42578125" customWidth="1"/>
    <col min="9" max="9" width="19" customWidth="1"/>
  </cols>
  <sheetData>
    <row r="1" spans="1:9" ht="18">
      <c r="A1" s="48" t="s">
        <v>2</v>
      </c>
      <c r="B1" s="48"/>
      <c r="C1" s="48"/>
      <c r="D1" s="48"/>
      <c r="E1" s="7"/>
      <c r="F1" s="7"/>
      <c r="G1" s="7"/>
      <c r="H1" s="7"/>
      <c r="I1" s="7"/>
    </row>
    <row r="3" spans="1:9">
      <c r="A3" t="s">
        <v>47</v>
      </c>
      <c r="B3" t="s">
        <v>63</v>
      </c>
      <c r="C3" t="s">
        <v>64</v>
      </c>
      <c r="D3" t="s">
        <v>62</v>
      </c>
    </row>
  </sheetData>
  <mergeCells count="1">
    <mergeCell ref="A1:D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41" r:id="rId4" name="cmdRemoveLocks">
          <controlPr defaultSize="0" autoLine="0" r:id="rId5">
            <anchor moveWithCells="1">
              <from>
                <xdr:col>5</xdr:col>
                <xdr:colOff>190500</xdr:colOff>
                <xdr:row>0</xdr:row>
                <xdr:rowOff>57150</xdr:rowOff>
              </from>
              <to>
                <xdr:col>6</xdr:col>
                <xdr:colOff>657225</xdr:colOff>
                <xdr:row>1</xdr:row>
                <xdr:rowOff>171450</xdr:rowOff>
              </to>
            </anchor>
          </controlPr>
        </control>
      </mc:Choice>
      <mc:Fallback>
        <control shapeId="10241" r:id="rId4" name="cmdRemoveLocks"/>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CC66FF"/>
  </sheetPr>
  <dimension ref="A1:K4"/>
  <sheetViews>
    <sheetView showGridLines="0" workbookViewId="0">
      <selection sqref="A1:G1"/>
    </sheetView>
  </sheetViews>
  <sheetFormatPr defaultRowHeight="15"/>
  <cols>
    <col min="1" max="1" width="11.5703125" bestFit="1" customWidth="1"/>
    <col min="2" max="2" width="9.7109375" bestFit="1" customWidth="1"/>
    <col min="3" max="3" width="16.42578125" bestFit="1" customWidth="1"/>
    <col min="4" max="4" width="13" bestFit="1" customWidth="1"/>
    <col min="5" max="5" width="14" bestFit="1" customWidth="1"/>
    <col min="6" max="6" width="11.28515625" bestFit="1" customWidth="1"/>
    <col min="7" max="7" width="21.5703125" bestFit="1" customWidth="1"/>
    <col min="8" max="8" width="15.140625" bestFit="1" customWidth="1"/>
    <col min="9" max="9" width="15.85546875" bestFit="1" customWidth="1"/>
    <col min="10" max="10" width="21.42578125" bestFit="1" customWidth="1"/>
    <col min="11" max="11" width="15.140625" bestFit="1" customWidth="1"/>
  </cols>
  <sheetData>
    <row r="1" spans="1:11" ht="18">
      <c r="A1" s="49" t="s">
        <v>7</v>
      </c>
      <c r="B1" s="49"/>
      <c r="C1" s="49"/>
      <c r="D1" s="49"/>
      <c r="E1" s="49"/>
      <c r="F1" s="49"/>
      <c r="G1" s="49"/>
      <c r="H1" s="22"/>
      <c r="I1" s="22"/>
      <c r="J1" s="22"/>
      <c r="K1" s="6"/>
    </row>
    <row r="3" spans="1:11">
      <c r="A3" t="s">
        <v>32</v>
      </c>
      <c r="B3" t="s">
        <v>33</v>
      </c>
      <c r="C3" t="s">
        <v>34</v>
      </c>
      <c r="D3" t="s">
        <v>35</v>
      </c>
      <c r="E3" t="s">
        <v>36</v>
      </c>
      <c r="F3" t="s">
        <v>37</v>
      </c>
      <c r="G3" t="s">
        <v>38</v>
      </c>
      <c r="H3" t="s">
        <v>39</v>
      </c>
      <c r="I3" t="s">
        <v>30</v>
      </c>
      <c r="J3" t="s">
        <v>31</v>
      </c>
    </row>
    <row r="4" spans="1:11">
      <c r="I4" s="11"/>
      <c r="J4" s="12"/>
    </row>
  </sheetData>
  <mergeCells count="1">
    <mergeCell ref="A1:G1"/>
  </mergeCells>
  <conditionalFormatting sqref="I3:J4">
    <cfRule type="cellIs" dxfId="18" priority="2" operator="equal">
      <formula>"OK"</formula>
    </cfRule>
  </conditionalFormatting>
  <conditionalFormatting sqref="I3:I4">
    <cfRule type="cellIs" dxfId="17" priority="1" operator="equal">
      <formula>"No match"</formula>
    </cfRule>
  </conditionalFormatting>
  <pageMargins left="0.7" right="0.7" top="0.75" bottom="0.75" header="0.3" footer="0.3"/>
  <drawing r:id="rId1"/>
  <legacyDrawing r:id="rId2"/>
  <controls>
    <mc:AlternateContent xmlns:mc="http://schemas.openxmlformats.org/markup-compatibility/2006">
      <mc:Choice Requires="x14">
        <control shapeId="7169" r:id="rId3" name="cmdRemoveUnmatchedBatches">
          <controlPr defaultSize="0" autoLine="0" r:id="rId4">
            <anchor moveWithCells="1">
              <from>
                <xdr:col>7</xdr:col>
                <xdr:colOff>0</xdr:colOff>
                <xdr:row>0</xdr:row>
                <xdr:rowOff>38100</xdr:rowOff>
              </from>
              <to>
                <xdr:col>8</xdr:col>
                <xdr:colOff>981075</xdr:colOff>
                <xdr:row>1</xdr:row>
                <xdr:rowOff>142875</xdr:rowOff>
              </to>
            </anchor>
          </controlPr>
        </control>
      </mc:Choice>
      <mc:Fallback>
        <control shapeId="7169" r:id="rId3" name="cmdRemoveUnmatchedBatches"/>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CCCC"/>
  </sheetPr>
  <dimension ref="A1:I3"/>
  <sheetViews>
    <sheetView showGridLines="0" workbookViewId="0">
      <selection sqref="A1:B1"/>
    </sheetView>
  </sheetViews>
  <sheetFormatPr defaultRowHeight="15"/>
  <cols>
    <col min="1" max="1" width="24.28515625" bestFit="1" customWidth="1"/>
    <col min="2" max="2" width="15.5703125" bestFit="1" customWidth="1"/>
    <col min="3" max="3" width="20.85546875" bestFit="1" customWidth="1"/>
    <col min="4" max="4" width="7" bestFit="1" customWidth="1"/>
    <col min="5" max="5" width="21" bestFit="1" customWidth="1"/>
    <col min="6" max="6" width="15.5703125" bestFit="1" customWidth="1"/>
    <col min="7" max="7" width="11.28515625" bestFit="1" customWidth="1"/>
    <col min="8" max="8" width="7" bestFit="1" customWidth="1"/>
    <col min="9" max="9" width="21" customWidth="1"/>
  </cols>
  <sheetData>
    <row r="1" spans="1:9" ht="18">
      <c r="A1" s="50" t="s">
        <v>3</v>
      </c>
      <c r="B1" s="50"/>
      <c r="C1" s="15"/>
      <c r="D1" s="15"/>
      <c r="E1" s="15"/>
      <c r="F1" s="15"/>
      <c r="G1" s="15"/>
      <c r="H1" s="15"/>
      <c r="I1" s="15"/>
    </row>
    <row r="3" spans="1:9">
      <c r="A3" t="s">
        <v>47</v>
      </c>
      <c r="B3" t="s">
        <v>65</v>
      </c>
      <c r="C3" t="s">
        <v>67</v>
      </c>
      <c r="D3" t="s">
        <v>68</v>
      </c>
      <c r="E3" t="s">
        <v>66</v>
      </c>
      <c r="F3" t="s">
        <v>79</v>
      </c>
      <c r="G3" t="s">
        <v>21</v>
      </c>
    </row>
  </sheetData>
  <mergeCells count="1">
    <mergeCell ref="A1:B1"/>
  </mergeCell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FF00"/>
  </sheetPr>
  <dimension ref="A1:K4"/>
  <sheetViews>
    <sheetView showGridLines="0" workbookViewId="0">
      <selection sqref="A1:G1"/>
    </sheetView>
  </sheetViews>
  <sheetFormatPr defaultRowHeight="15"/>
  <cols>
    <col min="1" max="2" width="9.5703125" bestFit="1" customWidth="1"/>
    <col min="3" max="3" width="11.7109375" bestFit="1" customWidth="1"/>
    <col min="4" max="4" width="13.140625" bestFit="1" customWidth="1"/>
    <col min="5" max="5" width="9.7109375" bestFit="1" customWidth="1"/>
    <col min="6" max="6" width="11.85546875" bestFit="1" customWidth="1"/>
    <col min="7" max="7" width="11" bestFit="1" customWidth="1"/>
    <col min="8" max="8" width="8.85546875" bestFit="1" customWidth="1"/>
    <col min="9" max="9" width="15.140625" bestFit="1" customWidth="1"/>
    <col min="10" max="10" width="15.85546875" bestFit="1" customWidth="1"/>
    <col min="11" max="11" width="15.140625" bestFit="1" customWidth="1"/>
  </cols>
  <sheetData>
    <row r="1" spans="1:11" ht="18">
      <c r="A1" s="51" t="s">
        <v>8</v>
      </c>
      <c r="B1" s="51"/>
      <c r="C1" s="51"/>
      <c r="D1" s="51"/>
      <c r="E1" s="51"/>
      <c r="F1" s="51"/>
      <c r="G1" s="51"/>
      <c r="H1" s="16"/>
      <c r="I1" s="17"/>
      <c r="J1" s="17"/>
      <c r="K1" s="17"/>
    </row>
    <row r="3" spans="1:11">
      <c r="A3" t="s">
        <v>69</v>
      </c>
      <c r="B3" t="s">
        <v>70</v>
      </c>
      <c r="C3" t="s">
        <v>71</v>
      </c>
      <c r="D3" t="s">
        <v>72</v>
      </c>
      <c r="E3" t="s">
        <v>33</v>
      </c>
      <c r="F3" t="s">
        <v>73</v>
      </c>
      <c r="G3" t="s">
        <v>74</v>
      </c>
      <c r="H3" t="s">
        <v>75</v>
      </c>
      <c r="I3" t="s">
        <v>39</v>
      </c>
      <c r="J3" t="s">
        <v>30</v>
      </c>
    </row>
    <row r="4" spans="1:11">
      <c r="J4" s="11"/>
    </row>
  </sheetData>
  <mergeCells count="1">
    <mergeCell ref="A1:G1"/>
  </mergeCells>
  <conditionalFormatting sqref="J3:J4">
    <cfRule type="cellIs" dxfId="14" priority="1" operator="equal">
      <formula>"OK"</formula>
    </cfRule>
  </conditionalFormatting>
  <pageMargins left="0.7" right="0.7" top="0.75" bottom="0.75" header="0.3" footer="0.3"/>
  <drawing r:id="rId1"/>
  <legacyDrawing r:id="rId2"/>
  <controls>
    <mc:AlternateContent xmlns:mc="http://schemas.openxmlformats.org/markup-compatibility/2006">
      <mc:Choice Requires="x14">
        <control shapeId="8193" r:id="rId3" name="cmdCloseResources">
          <controlPr defaultSize="0" autoLine="0" autoPict="0" r:id="rId4">
            <anchor moveWithCells="1">
              <from>
                <xdr:col>7</xdr:col>
                <xdr:colOff>304800</xdr:colOff>
                <xdr:row>0</xdr:row>
                <xdr:rowOff>38100</xdr:rowOff>
              </from>
              <to>
                <xdr:col>9</xdr:col>
                <xdr:colOff>666750</xdr:colOff>
                <xdr:row>1</xdr:row>
                <xdr:rowOff>114300</xdr:rowOff>
              </to>
            </anchor>
          </controlPr>
        </control>
      </mc:Choice>
      <mc:Fallback>
        <control shapeId="8193" r:id="rId3" name="cmdCloseResources"/>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6666FF"/>
  </sheetPr>
  <dimension ref="A1:N9"/>
  <sheetViews>
    <sheetView showGridLines="0" workbookViewId="0">
      <selection sqref="A1:F1"/>
    </sheetView>
  </sheetViews>
  <sheetFormatPr defaultRowHeight="15"/>
  <cols>
    <col min="1" max="1" width="21.42578125" bestFit="1" customWidth="1"/>
    <col min="2" max="2" width="12.5703125" bestFit="1" customWidth="1"/>
    <col min="3" max="3" width="13.140625" bestFit="1" customWidth="1"/>
    <col min="4" max="4" width="15.85546875" bestFit="1" customWidth="1"/>
    <col min="5" max="5" width="9.7109375" bestFit="1" customWidth="1"/>
    <col min="6" max="6" width="16.42578125" bestFit="1" customWidth="1"/>
    <col min="7" max="7" width="12.28515625" bestFit="1" customWidth="1"/>
    <col min="8" max="8" width="13.140625" bestFit="1" customWidth="1"/>
    <col min="9" max="9" width="6" customWidth="1"/>
    <col min="10" max="10" width="2.5703125" customWidth="1"/>
    <col min="11" max="11" width="13.42578125" customWidth="1"/>
    <col min="12" max="12" width="12.5703125" customWidth="1"/>
    <col min="13" max="13" width="9.42578125" customWidth="1"/>
    <col min="14" max="14" width="19" customWidth="1"/>
  </cols>
  <sheetData>
    <row r="1" spans="1:14" ht="18">
      <c r="A1" s="42" t="s">
        <v>78</v>
      </c>
      <c r="B1" s="42"/>
      <c r="C1" s="42"/>
      <c r="D1" s="42"/>
      <c r="E1" s="42"/>
      <c r="F1" s="42"/>
      <c r="G1" s="23"/>
      <c r="H1" s="23"/>
      <c r="I1" s="7"/>
      <c r="J1" s="7"/>
      <c r="K1" s="7"/>
      <c r="L1" s="7"/>
      <c r="M1" s="7"/>
      <c r="N1" s="7"/>
    </row>
    <row r="3" spans="1:14">
      <c r="A3" t="s">
        <v>47</v>
      </c>
      <c r="B3" t="s">
        <v>63</v>
      </c>
      <c r="C3" t="s">
        <v>76</v>
      </c>
      <c r="D3" t="s">
        <v>30</v>
      </c>
      <c r="E3" t="s">
        <v>33</v>
      </c>
      <c r="F3" t="s">
        <v>34</v>
      </c>
      <c r="G3" t="s">
        <v>77</v>
      </c>
      <c r="H3" t="s">
        <v>20</v>
      </c>
      <c r="K3" s="52" t="s">
        <v>89</v>
      </c>
      <c r="L3" s="52"/>
      <c r="M3" s="52"/>
    </row>
    <row r="4" spans="1:14">
      <c r="D4" s="11"/>
      <c r="E4" s="12"/>
      <c r="F4" s="12"/>
      <c r="G4" s="12"/>
      <c r="H4" s="12"/>
      <c r="K4" s="52"/>
      <c r="L4" s="52"/>
      <c r="M4" s="52"/>
    </row>
    <row r="5" spans="1:14">
      <c r="K5" s="52"/>
      <c r="L5" s="52"/>
      <c r="M5" s="52"/>
    </row>
    <row r="6" spans="1:14">
      <c r="K6" s="52"/>
      <c r="L6" s="52"/>
      <c r="M6" s="52"/>
    </row>
    <row r="7" spans="1:14">
      <c r="K7" s="52"/>
      <c r="L7" s="52"/>
      <c r="M7" s="52"/>
    </row>
    <row r="8" spans="1:14">
      <c r="K8" s="52"/>
      <c r="L8" s="52"/>
      <c r="M8" s="52"/>
    </row>
    <row r="9" spans="1:14">
      <c r="K9" s="52"/>
      <c r="L9" s="52"/>
      <c r="M9" s="52"/>
    </row>
  </sheetData>
  <mergeCells count="2">
    <mergeCell ref="A1:F1"/>
    <mergeCell ref="K3:M9"/>
  </mergeCells>
  <conditionalFormatting sqref="D3:H4">
    <cfRule type="cellIs" dxfId="12" priority="5" operator="equal">
      <formula>"No ACTIVITY"</formula>
    </cfRule>
    <cfRule type="cellIs" dxfId="11" priority="6" operator="equal">
      <formula>"OK"</formula>
    </cfRule>
  </conditionalFormatting>
  <conditionalFormatting sqref="D3:D4">
    <cfRule type="cellIs" dxfId="10" priority="4" operator="equal">
      <formula>"NO DEX_SESSION"</formula>
    </cfRule>
  </conditionalFormatting>
  <conditionalFormatting sqref="G3:H4">
    <cfRule type="cellIs" dxfId="9" priority="3" operator="equal">
      <formula>"No match"</formula>
    </cfRule>
  </conditionalFormatting>
  <conditionalFormatting sqref="H3:H4">
    <cfRule type="cellIs" dxfId="8" priority="2" operator="equal">
      <formula>0</formula>
    </cfRule>
  </conditionalFormatting>
  <conditionalFormatting sqref="G3:G4">
    <cfRule type="cellIs" dxfId="7" priority="1" operator="equal">
      <formula>"Unlinked"</formula>
    </cfRule>
  </conditionalFormatting>
  <pageMargins left="0.7" right="0.7" top="0.75" bottom="0.75" header="0.3" footer="0.3"/>
  <drawing r:id="rId1"/>
  <legacyDrawing r:id="rId2"/>
  <controls>
    <mc:AlternateContent xmlns:mc="http://schemas.openxmlformats.org/markup-compatibility/2006">
      <mc:Choice Requires="x14">
        <control shapeId="4097" r:id="rId3" name="cmdRemoveSessions">
          <controlPr defaultSize="0" autoLine="0" autoPict="0" r:id="rId4">
            <anchor moveWithCells="1">
              <from>
                <xdr:col>6</xdr:col>
                <xdr:colOff>590550</xdr:colOff>
                <xdr:row>0</xdr:row>
                <xdr:rowOff>76200</xdr:rowOff>
              </from>
              <to>
                <xdr:col>10</xdr:col>
                <xdr:colOff>47625</xdr:colOff>
                <xdr:row>1</xdr:row>
                <xdr:rowOff>133350</xdr:rowOff>
              </to>
            </anchor>
          </controlPr>
        </control>
      </mc:Choice>
      <mc:Fallback>
        <control shapeId="4097" r:id="rId3" name="cmdRemoveSessions"/>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FF66FF"/>
  </sheetPr>
  <dimension ref="A1:F4"/>
  <sheetViews>
    <sheetView workbookViewId="0"/>
  </sheetViews>
  <sheetFormatPr defaultRowHeight="15"/>
  <cols>
    <col min="1" max="1" width="16.42578125" bestFit="1" customWidth="1"/>
    <col min="2" max="2" width="9.28515625" bestFit="1" customWidth="1"/>
    <col min="3" max="3" width="12.140625" bestFit="1" customWidth="1"/>
    <col min="4" max="4" width="10.42578125" bestFit="1" customWidth="1"/>
    <col min="5" max="5" width="8.7109375" bestFit="1" customWidth="1"/>
    <col min="6" max="6" width="76.85546875" bestFit="1" customWidth="1"/>
  </cols>
  <sheetData>
    <row r="1" spans="1:6" ht="18">
      <c r="A1" s="26" t="s">
        <v>87</v>
      </c>
      <c r="B1" s="27"/>
      <c r="C1" s="27"/>
      <c r="D1" s="27"/>
      <c r="E1" s="27"/>
      <c r="F1" s="27"/>
    </row>
    <row r="3" spans="1:6">
      <c r="A3" t="s">
        <v>15</v>
      </c>
      <c r="B3" t="s">
        <v>59</v>
      </c>
      <c r="C3" t="s">
        <v>84</v>
      </c>
      <c r="D3" t="s">
        <v>85</v>
      </c>
      <c r="E3" t="s">
        <v>86</v>
      </c>
      <c r="F3" t="s">
        <v>31</v>
      </c>
    </row>
    <row r="4" spans="1:6">
      <c r="D4" s="9"/>
      <c r="E4" s="28"/>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FF00"/>
  </sheetPr>
  <dimension ref="A1:J19"/>
  <sheetViews>
    <sheetView tabSelected="1" workbookViewId="0">
      <selection activeCell="H1" sqref="H1"/>
    </sheetView>
  </sheetViews>
  <sheetFormatPr defaultRowHeight="15"/>
  <cols>
    <col min="2" max="2" width="34.28515625" customWidth="1"/>
    <col min="4" max="4" width="9.7109375" bestFit="1" customWidth="1"/>
    <col min="5" max="5" width="19.42578125" customWidth="1"/>
    <col min="7" max="7" width="12.85546875" bestFit="1" customWidth="1"/>
    <col min="8" max="8" width="22.28515625" customWidth="1"/>
    <col min="10" max="10" width="20.5703125" bestFit="1" customWidth="1"/>
  </cols>
  <sheetData>
    <row r="1" spans="1:10" ht="23.25" thickBot="1">
      <c r="A1" s="29" t="s">
        <v>93</v>
      </c>
      <c r="B1" s="24" t="s">
        <v>94</v>
      </c>
      <c r="C1" s="32" t="s">
        <v>98</v>
      </c>
      <c r="E1" s="35"/>
      <c r="F1" s="32"/>
      <c r="G1" s="29" t="s">
        <v>92</v>
      </c>
      <c r="H1" s="30" t="s">
        <v>95</v>
      </c>
      <c r="I1" s="31" t="s">
        <v>96</v>
      </c>
      <c r="J1" s="53" t="s">
        <v>104</v>
      </c>
    </row>
    <row r="2" spans="1:10">
      <c r="H2" s="25" t="s">
        <v>81</v>
      </c>
      <c r="J2" s="53"/>
    </row>
    <row r="3" spans="1:10">
      <c r="I3" s="56" t="s">
        <v>97</v>
      </c>
    </row>
    <row r="4" spans="1:10">
      <c r="I4" s="57"/>
    </row>
    <row r="7" spans="1:10">
      <c r="B7" s="58" t="s">
        <v>100</v>
      </c>
      <c r="E7" s="60" t="s">
        <v>101</v>
      </c>
    </row>
    <row r="8" spans="1:10">
      <c r="B8" s="59"/>
      <c r="E8" s="61"/>
    </row>
    <row r="10" spans="1:10" ht="23.25">
      <c r="B10" s="32" t="s">
        <v>99</v>
      </c>
      <c r="D10" s="33" t="s">
        <v>103</v>
      </c>
      <c r="E10" s="34" t="s">
        <v>102</v>
      </c>
    </row>
    <row r="13" spans="1:10" ht="29.25" customHeight="1">
      <c r="A13" s="38" t="s">
        <v>96</v>
      </c>
      <c r="B13" s="54" t="s">
        <v>107</v>
      </c>
      <c r="C13" s="54"/>
      <c r="D13" s="54"/>
      <c r="E13" s="54"/>
      <c r="F13" s="54"/>
      <c r="G13" s="54"/>
      <c r="H13" s="54"/>
    </row>
    <row r="14" spans="1:10" ht="34.5" customHeight="1">
      <c r="A14" s="38" t="s">
        <v>97</v>
      </c>
      <c r="B14" s="54" t="s">
        <v>112</v>
      </c>
      <c r="C14" s="54"/>
      <c r="D14" s="54"/>
      <c r="E14" s="54"/>
      <c r="F14" s="54"/>
      <c r="G14" s="54"/>
      <c r="H14" s="54"/>
    </row>
    <row r="15" spans="1:10" ht="22.5">
      <c r="A15" s="37" t="s">
        <v>98</v>
      </c>
      <c r="B15" s="55" t="s">
        <v>110</v>
      </c>
      <c r="C15" s="55"/>
      <c r="D15" s="55"/>
      <c r="E15" s="55"/>
      <c r="F15" s="36"/>
      <c r="G15" s="36"/>
      <c r="H15" s="36"/>
    </row>
    <row r="16" spans="1:10" ht="22.5">
      <c r="A16" s="37" t="s">
        <v>99</v>
      </c>
      <c r="B16" s="55" t="s">
        <v>108</v>
      </c>
      <c r="C16" s="55"/>
      <c r="D16" s="36"/>
      <c r="E16" s="36"/>
      <c r="F16" s="36"/>
      <c r="G16" s="36"/>
      <c r="H16" s="36"/>
    </row>
    <row r="17" spans="1:8" ht="39.75" customHeight="1">
      <c r="A17" s="37" t="s">
        <v>100</v>
      </c>
      <c r="B17" s="54" t="s">
        <v>111</v>
      </c>
      <c r="C17" s="54"/>
      <c r="D17" s="54"/>
      <c r="E17" s="54"/>
      <c r="F17" s="36"/>
      <c r="G17" s="36"/>
      <c r="H17" s="36"/>
    </row>
    <row r="18" spans="1:8" ht="22.5">
      <c r="A18" s="37" t="s">
        <v>101</v>
      </c>
      <c r="B18" s="55" t="s">
        <v>109</v>
      </c>
      <c r="C18" s="55"/>
      <c r="D18" s="55"/>
      <c r="E18" s="55"/>
      <c r="F18" s="55"/>
      <c r="G18" s="36"/>
      <c r="H18" s="36"/>
    </row>
    <row r="19" spans="1:8" ht="22.5">
      <c r="A19" s="37" t="s">
        <v>105</v>
      </c>
      <c r="B19" s="36" t="s">
        <v>106</v>
      </c>
      <c r="C19" s="36"/>
      <c r="D19" s="36"/>
      <c r="E19" s="36"/>
      <c r="F19" s="36"/>
      <c r="G19" s="36"/>
      <c r="H19" s="36"/>
    </row>
  </sheetData>
  <mergeCells count="10">
    <mergeCell ref="B17:E17"/>
    <mergeCell ref="B18:F18"/>
    <mergeCell ref="I3:I4"/>
    <mergeCell ref="B7:B8"/>
    <mergeCell ref="E7:E8"/>
    <mergeCell ref="J1:J2"/>
    <mergeCell ref="B14:H14"/>
    <mergeCell ref="B13:H13"/>
    <mergeCell ref="B15:E15"/>
    <mergeCell ref="B16:C16"/>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4338" r:id="rId4" name="cmdShowConnections">
          <controlPr defaultSize="0" autoFill="0" autoLine="0" r:id="rId5">
            <anchor moveWithCells="1">
              <from>
                <xdr:col>1</xdr:col>
                <xdr:colOff>400050</xdr:colOff>
                <xdr:row>3</xdr:row>
                <xdr:rowOff>95250</xdr:rowOff>
              </from>
              <to>
                <xdr:col>1</xdr:col>
                <xdr:colOff>2133600</xdr:colOff>
                <xdr:row>5</xdr:row>
                <xdr:rowOff>123825</xdr:rowOff>
              </to>
            </anchor>
          </controlPr>
        </control>
      </mc:Choice>
      <mc:Fallback>
        <control shapeId="14338" r:id="rId4" name="cmdShowConnections"/>
      </mc:Fallback>
    </mc:AlternateContent>
    <mc:AlternateContent xmlns:mc="http://schemas.openxmlformats.org/markup-compatibility/2006">
      <mc:Choice Requires="x14">
        <control shapeId="14339" r:id="rId6" name="cmdUpdateConnections">
          <controlPr defaultSize="0" disabled="1" autoFill="0" autoLine="0" r:id="rId7">
            <anchor moveWithCells="1">
              <from>
                <xdr:col>1</xdr:col>
                <xdr:colOff>400050</xdr:colOff>
                <xdr:row>6</xdr:row>
                <xdr:rowOff>19050</xdr:rowOff>
              </from>
              <to>
                <xdr:col>1</xdr:col>
                <xdr:colOff>2124075</xdr:colOff>
                <xdr:row>8</xdr:row>
                <xdr:rowOff>0</xdr:rowOff>
              </to>
            </anchor>
          </controlPr>
        </control>
      </mc:Choice>
      <mc:Fallback>
        <control shapeId="14339" r:id="rId6" name="cmdUpdateConnections"/>
      </mc:Fallback>
    </mc:AlternateContent>
    <mc:AlternateContent xmlns:mc="http://schemas.openxmlformats.org/markup-compatibility/2006">
      <mc:Choice Requires="x14">
        <control shapeId="14340" r:id="rId8" name="cmdTestCommandText">
          <controlPr defaultSize="0" autoLine="0" r:id="rId9">
            <anchor moveWithCells="1">
              <from>
                <xdr:col>6</xdr:col>
                <xdr:colOff>742950</xdr:colOff>
                <xdr:row>2</xdr:row>
                <xdr:rowOff>47625</xdr:rowOff>
              </from>
              <to>
                <xdr:col>8</xdr:col>
                <xdr:colOff>142875</xdr:colOff>
                <xdr:row>4</xdr:row>
                <xdr:rowOff>28575</xdr:rowOff>
              </to>
            </anchor>
          </controlPr>
        </control>
      </mc:Choice>
      <mc:Fallback>
        <control shapeId="14340" r:id="rId8" name="cmdTestCommandText"/>
      </mc:Fallback>
    </mc:AlternateContent>
    <mc:AlternateContent xmlns:mc="http://schemas.openxmlformats.org/markup-compatibility/2006">
      <mc:Choice Requires="x14">
        <control shapeId="14341" r:id="rId10" name="cmdSetRefreshInterval">
          <controlPr defaultSize="0" autoLine="0" r:id="rId11">
            <anchor moveWithCells="1">
              <from>
                <xdr:col>2</xdr:col>
                <xdr:colOff>314325</xdr:colOff>
                <xdr:row>6</xdr:row>
                <xdr:rowOff>9525</xdr:rowOff>
              </from>
              <to>
                <xdr:col>4</xdr:col>
                <xdr:colOff>542925</xdr:colOff>
                <xdr:row>7</xdr:row>
                <xdr:rowOff>180975</xdr:rowOff>
              </to>
            </anchor>
          </controlPr>
        </control>
      </mc:Choice>
      <mc:Fallback>
        <control shapeId="14341" r:id="rId10" name="cmdSetRefreshInterval"/>
      </mc:Fallback>
    </mc:AlternateContent>
    <mc:AlternateContent xmlns:mc="http://schemas.openxmlformats.org/markup-compatibility/2006">
      <mc:Choice Requires="x14">
        <control shapeId="14342" r:id="rId12" name="cmdSetRefreshTo0">
          <controlPr defaultSize="0" autoLine="0" r:id="rId13">
            <anchor moveWithCells="1">
              <from>
                <xdr:col>2</xdr:col>
                <xdr:colOff>323850</xdr:colOff>
                <xdr:row>3</xdr:row>
                <xdr:rowOff>123825</xdr:rowOff>
              </from>
              <to>
                <xdr:col>4</xdr:col>
                <xdr:colOff>533400</xdr:colOff>
                <xdr:row>5</xdr:row>
                <xdr:rowOff>95250</xdr:rowOff>
              </to>
            </anchor>
          </controlPr>
        </control>
      </mc:Choice>
      <mc:Fallback>
        <control shapeId="14342" r:id="rId12" name="cmdSetRefreshTo0"/>
      </mc:Fallback>
    </mc:AlternateContent>
    <mc:AlternateContent xmlns:mc="http://schemas.openxmlformats.org/markup-compatibility/2006">
      <mc:Choice Requires="x14">
        <control shapeId="14343" r:id="rId14" name="chkLockUpdateConnectionsButton">
          <controlPr defaultSize="0" autoFill="0" autoLine="0" autoPict="0" r:id="rId15">
            <anchor moveWithCells="1">
              <from>
                <xdr:col>1</xdr:col>
                <xdr:colOff>390525</xdr:colOff>
                <xdr:row>8</xdr:row>
                <xdr:rowOff>142875</xdr:rowOff>
              </from>
              <to>
                <xdr:col>1</xdr:col>
                <xdr:colOff>1428750</xdr:colOff>
                <xdr:row>9</xdr:row>
                <xdr:rowOff>219075</xdr:rowOff>
              </to>
            </anchor>
          </controlPr>
        </control>
      </mc:Choice>
      <mc:Fallback>
        <control shapeId="14343" r:id="rId14" name="chkLockUpdateConnectionsButt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Dashboard</vt:lpstr>
      <vt:lpstr>Users</vt:lpstr>
      <vt:lpstr>Active Batches</vt:lpstr>
      <vt:lpstr>Locks-In Use</vt:lpstr>
      <vt:lpstr>Locks-Orphans</vt:lpstr>
      <vt:lpstr>Open Batches</vt:lpstr>
      <vt:lpstr>Processes</vt:lpstr>
      <vt:lpstr>Resources in Use</vt:lpstr>
      <vt:lpstr>Sessions</vt:lpstr>
      <vt:lpstr>Tracking</vt:lpstr>
      <vt:lpstr>Connections</vt:lpstr>
      <vt:lpstr>DatabaseName</vt:lpstr>
      <vt:lpstr>DynamicsDBName</vt:lpstr>
      <vt:lpstr>ServerName</vt:lpstr>
    </vt:vector>
  </TitlesOfParts>
  <Company>WOW Logistics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Erbach</dc:creator>
  <cp:lastModifiedBy>Steve Erbach</cp:lastModifiedBy>
  <dcterms:created xsi:type="dcterms:W3CDTF">2017-05-04T18:02:23Z</dcterms:created>
  <dcterms:modified xsi:type="dcterms:W3CDTF">2019-01-10T11:28:40Z</dcterms:modified>
</cp:coreProperties>
</file>